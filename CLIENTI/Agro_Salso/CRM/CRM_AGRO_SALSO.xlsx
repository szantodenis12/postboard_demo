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ȚI EXISTENȚI" sheetId="1" state="visible" r:id="rId1"/>
    <sheet name="LEAD-URI NOI" sheetId="2" state="visible" r:id="rId2"/>
    <sheet name="PIPELINE AFIR" sheetId="3" state="visible" r:id="rId3"/>
    <sheet name="FOLLOW-UP ZILNIC" sheetId="4" state="visible" r:id="rId4"/>
    <sheet name="DASHBOARD LUN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RON&quot;"/>
  </numFmts>
  <fonts count="18">
    <font>
      <name val="Calibri"/>
      <family val="2"/>
      <color theme="1"/>
      <sz val="11"/>
      <scheme val="minor"/>
    </font>
    <font>
      <name val="Calibri"/>
      <b val="1"/>
      <color rgb="001B5E20"/>
      <sz val="16"/>
    </font>
    <font>
      <name val="Calibri"/>
      <b val="1"/>
      <color rgb="00424242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9E9E9E"/>
      <sz val="11"/>
    </font>
    <font>
      <name val="Calibri"/>
      <b val="1"/>
      <sz val="11"/>
    </font>
    <font>
      <name val="Calibri"/>
      <b val="1"/>
      <color rgb="001B5E20"/>
      <sz val="14"/>
    </font>
    <font>
      <name val="Calibri"/>
      <b val="1"/>
      <color rgb="00F44336"/>
      <sz val="12"/>
    </font>
    <font>
      <name val="Calibri"/>
      <b val="1"/>
      <color rgb="00F44336"/>
      <sz val="14"/>
    </font>
    <font>
      <name val="Calibri"/>
      <b val="1"/>
      <color rgb="009E9E9E"/>
      <sz val="14"/>
    </font>
    <font>
      <name val="Calibri"/>
      <b val="1"/>
      <color rgb="002196F3"/>
      <sz val="12"/>
    </font>
    <font>
      <name val="Calibri"/>
      <b val="1"/>
      <color rgb="002196F3"/>
      <sz val="14"/>
    </font>
    <font>
      <name val="Calibri"/>
      <b val="1"/>
      <color rgb="00FF9800"/>
      <sz val="11"/>
    </font>
    <font>
      <name val="Calibri"/>
      <b val="1"/>
      <color rgb="00FF9800"/>
      <sz val="14"/>
    </font>
    <font>
      <name val="Calibri"/>
      <b val="1"/>
      <color rgb="00FFFFFF"/>
      <sz val="12"/>
    </font>
    <font>
      <name val="Calibri"/>
      <b val="1"/>
      <sz val="12"/>
    </font>
    <font>
      <name val="Calibri"/>
      <b val="1"/>
      <color rgb="00424242"/>
      <sz val="11"/>
    </font>
  </fonts>
  <fills count="12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5F5F5"/>
        <bgColor rgb="00F5F5F5"/>
      </patternFill>
    </fill>
    <fill>
      <patternFill patternType="solid">
        <fgColor rgb="00F44336"/>
        <bgColor rgb="00F44336"/>
      </patternFill>
    </fill>
    <fill>
      <patternFill patternType="solid">
        <fgColor rgb="002196F3"/>
        <bgColor rgb="002196F3"/>
      </patternFill>
    </fill>
    <fill>
      <patternFill patternType="solid">
        <fgColor rgb="001B5E20"/>
        <bgColor rgb="001B5E20"/>
      </patternFill>
    </fill>
    <fill>
      <patternFill patternType="solid">
        <fgColor rgb="00FFC107"/>
        <bgColor rgb="00FFC107"/>
      </patternFill>
    </fill>
    <fill>
      <patternFill patternType="solid">
        <fgColor rgb="008BC34A"/>
        <bgColor rgb="008BC34A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795548"/>
        <bgColor rgb="0079554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164" fontId="7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2" fillId="0" borderId="0" pivotButton="0" quotePrefix="0" xfId="0"/>
    <xf numFmtId="165" fontId="1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4" fillId="0" borderId="0" pivotButton="0" quotePrefix="0" xfId="0"/>
    <xf numFmtId="3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0" fontId="15" fillId="6" borderId="0" pivotButton="0" quotePrefix="0" xfId="0"/>
    <xf numFmtId="0" fontId="3" fillId="6" borderId="1" pivotButton="0" quotePrefix="0" xfId="0"/>
    <xf numFmtId="3" fontId="3" fillId="6" borderId="1" pivotButton="0" quotePrefix="0" xfId="0"/>
    <xf numFmtId="0" fontId="6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6" fillId="0" borderId="1" pivotButton="0" quotePrefix="0" xfId="0"/>
    <xf numFmtId="0" fontId="16" fillId="0" borderId="1" pivotButton="0" quotePrefix="0" xfId="0"/>
    <xf numFmtId="164" fontId="0" fillId="0" borderId="1" pivotButton="0" quotePrefix="0" xfId="0"/>
    <xf numFmtId="0" fontId="6" fillId="3" borderId="1" pivotButton="0" quotePrefix="0" xfId="0"/>
    <xf numFmtId="0" fontId="16" fillId="3" borderId="1" pivotButton="0" quotePrefix="0" xfId="0"/>
    <xf numFmtId="164" fontId="0" fillId="3" borderId="1" pivotButton="0" quotePrefix="0" xfId="0"/>
    <xf numFmtId="0" fontId="3" fillId="4" borderId="1" pivotButton="0" quotePrefix="0" xfId="0"/>
    <xf numFmtId="0" fontId="17" fillId="7" borderId="1" pivotButton="0" quotePrefix="0" xfId="0"/>
    <xf numFmtId="0" fontId="17" fillId="8" borderId="1" pivotButton="0" quotePrefix="0" xfId="0"/>
    <xf numFmtId="0" fontId="3" fillId="5" borderId="1" pivotButton="0" quotePrefix="0" xfId="0"/>
    <xf numFmtId="0" fontId="3" fillId="9" borderId="1" pivotButton="0" quotePrefix="0" xfId="0"/>
    <xf numFmtId="0" fontId="17" fillId="10" borderId="1" pivotButton="0" quotePrefix="0" xfId="0"/>
    <xf numFmtId="0" fontId="3" fillId="11" borderId="1" pivotButton="0" quotePrefix="0" xfId="0"/>
  </cellXfs>
  <cellStyles count="1">
    <cellStyle name="Normal" xfId="0" builtinId="0" hidden="0"/>
  </cellStyles>
  <dxfs count="8">
    <dxf>
      <font>
        <name val="Calibri"/>
        <b val="1"/>
        <color rgb="00FFFFFF"/>
        <sz val="11"/>
      </font>
      <fill>
        <patternFill patternType="solid">
          <fgColor rgb="001B5E20"/>
          <bgColor rgb="001B5E20"/>
        </patternFill>
      </fill>
    </dxf>
    <dxf>
      <font>
        <name val="Calibri"/>
        <b val="1"/>
        <color rgb="00424242"/>
        <sz val="11"/>
      </font>
      <fill>
        <patternFill patternType="solid">
          <fgColor rgb="009E9E9E"/>
          <bgColor rgb="009E9E9E"/>
        </patternFill>
      </fill>
    </dxf>
    <dxf>
      <font>
        <name val="Calibri"/>
        <b val="1"/>
        <color rgb="00424242"/>
        <sz val="11"/>
      </font>
      <fill>
        <patternFill patternType="solid">
          <fgColor rgb="00FFC107"/>
          <bgColor rgb="00FFC107"/>
        </patternFill>
      </fill>
    </dxf>
    <dxf>
      <font>
        <name val="Calibri"/>
        <b val="1"/>
        <color rgb="00FFFFFF"/>
        <sz val="11"/>
      </font>
      <fill>
        <patternFill patternType="solid">
          <fgColor rgb="00F44336"/>
          <bgColor rgb="00F44336"/>
        </patternFill>
      </fill>
    </dxf>
    <dxf>
      <font>
        <name val="Calibri"/>
        <b val="1"/>
        <color rgb="00424242"/>
        <sz val="11"/>
      </font>
      <fill>
        <patternFill patternType="solid">
          <fgColor rgb="008BC34A"/>
          <bgColor rgb="008BC34A"/>
        </patternFill>
      </fill>
    </dxf>
    <dxf>
      <font>
        <name val="Calibri"/>
        <b val="1"/>
        <color rgb="00FFFFFF"/>
        <sz val="11"/>
      </font>
      <fill>
        <patternFill patternType="solid">
          <fgColor rgb="002196F3"/>
          <bgColor rgb="002196F3"/>
        </patternFill>
      </fill>
    </dxf>
    <dxf>
      <font>
        <name val="Calibri"/>
        <b val="1"/>
        <color rgb="00FFFFFF"/>
        <sz val="11"/>
      </font>
      <fill>
        <patternFill patternType="solid">
          <fgColor rgb="009C27B0"/>
          <bgColor rgb="009C27B0"/>
        </patternFill>
      </fill>
    </dxf>
    <dxf>
      <font>
        <name val="Calibri"/>
        <b val="1"/>
        <color rgb="00FFFFFF"/>
        <sz val="11"/>
      </font>
      <fill>
        <patternFill patternType="solid">
          <fgColor rgb="00795548"/>
          <bgColor rgb="0079554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5E20"/>
    <outlinePr summaryBelow="1" summaryRight="1"/>
    <pageSetUpPr/>
  </sheetPr>
  <dimension ref="A1:N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  <col width="25" customWidth="1" min="8" max="8"/>
    <col width="14" customWidth="1" min="9" max="9"/>
    <col width="14" customWidth="1" min="10" max="10"/>
    <col width="10" customWidth="1" min="11" max="11"/>
    <col width="22" customWidth="1" min="12" max="12"/>
    <col width="16" customWidth="1" min="13" max="13"/>
    <col width="30" customWidth="1" min="14" max="14"/>
  </cols>
  <sheetData>
    <row r="1" ht="35" customHeight="1">
      <c r="A1" s="1" t="inlineStr">
        <is>
          <t>AGRO SALSO — BAZĂ DE DATE CLIENȚI EXISTENȚI</t>
        </is>
      </c>
    </row>
    <row r="2" ht="25" customHeight="1">
      <c r="A2" s="2" t="inlineStr">
        <is>
          <t>Instrucțiuni: Completează cu TOȚI clienții din agende, facturi, telefon. Începe cu top 20.</t>
        </is>
      </c>
    </row>
    <row r="3">
      <c r="A3" s="3" t="inlineStr">
        <is>
          <t>Total clienți:</t>
        </is>
      </c>
      <c r="B3" s="4">
        <f>COUNTA(B5:B204)</f>
        <v/>
      </c>
      <c r="D3" s="3" t="inlineStr">
        <is>
          <t>Cu potențial upsell:</t>
        </is>
      </c>
      <c r="E3" s="4">
        <f>COUNTIF(K5:K204,"Da")</f>
        <v/>
      </c>
      <c r="G3" s="3" t="inlineStr">
        <is>
          <t>Suprafață totală (ha):</t>
        </is>
      </c>
      <c r="H3" s="4">
        <f>SUM(F5:F204)</f>
        <v/>
      </c>
    </row>
    <row r="4" ht="40" customHeight="1">
      <c r="A4" s="5" t="inlineStr">
        <is>
          <t>Nr.</t>
        </is>
      </c>
      <c r="B4" s="5" t="inlineStr">
        <is>
          <t>Nume complet</t>
        </is>
      </c>
      <c r="C4" s="5" t="inlineStr">
        <is>
          <t>Telefon</t>
        </is>
      </c>
      <c r="D4" s="5" t="inlineStr">
        <is>
          <t>Localitate</t>
        </is>
      </c>
      <c r="E4" s="5" t="inlineStr">
        <is>
          <t>Județ</t>
        </is>
      </c>
      <c r="F4" s="5" t="inlineStr">
        <is>
          <t>Suprafață
fermă (ha)</t>
        </is>
      </c>
      <c r="G4" s="5" t="inlineStr">
        <is>
          <t>Tractor(e)
deținute</t>
        </is>
      </c>
      <c r="H4" s="5" t="inlineStr">
        <is>
          <t>Utilaje cumpărate
de la Agro Salso</t>
        </is>
      </c>
      <c r="I4" s="5" t="inlineStr">
        <is>
          <t>Data ultimei
achiziții</t>
        </is>
      </c>
      <c r="J4" s="5" t="inlineStr">
        <is>
          <t>Ultimul
contact</t>
        </is>
      </c>
      <c r="K4" s="5" t="inlineStr">
        <is>
          <t>Potențial
upsell</t>
        </is>
      </c>
      <c r="L4" s="5" t="inlineStr">
        <is>
          <t>Ce ar putea
cumpăra</t>
        </is>
      </c>
      <c r="M4" s="5" t="inlineStr">
        <is>
          <t>Recomandat
de cineva?</t>
        </is>
      </c>
      <c r="N4" s="5" t="inlineStr">
        <is>
          <t>Note</t>
        </is>
      </c>
    </row>
    <row r="5">
      <c r="A5" s="6" t="inlineStr"/>
      <c r="B5" s="6" t="inlineStr">
        <is>
          <t>Gheorghe Moldovan</t>
        </is>
      </c>
      <c r="C5" s="6" t="inlineStr">
        <is>
          <t>07XX XXX XXX</t>
        </is>
      </c>
      <c r="D5" s="6" t="inlineStr">
        <is>
          <t>Salonta</t>
        </is>
      </c>
      <c r="E5" s="6" t="inlineStr">
        <is>
          <t>Bihor</t>
        </is>
      </c>
      <c r="F5" s="6" t="n">
        <v>45</v>
      </c>
      <c r="G5" s="6" t="inlineStr">
        <is>
          <t>UTB 650 + Landini 85 CP</t>
        </is>
      </c>
      <c r="H5" s="6" t="inlineStr">
        <is>
          <t>Grapă Mamut 2.5</t>
        </is>
      </c>
      <c r="I5" s="6" t="inlineStr">
        <is>
          <t>2024-03</t>
        </is>
      </c>
      <c r="J5" s="6" t="inlineStr">
        <is>
          <t>2025-11</t>
        </is>
      </c>
      <c r="K5" s="6" t="inlineStr">
        <is>
          <t>Da</t>
        </is>
      </c>
      <c r="L5" s="6" t="inlineStr">
        <is>
          <t>Cultivator sau semănătoare</t>
        </is>
      </c>
      <c r="M5" s="6" t="inlineStr">
        <is>
          <t>Nu</t>
        </is>
      </c>
      <c r="N5" s="6" t="inlineStr">
        <is>
          <t>Client fidel, 3 ani. Vecinul Ion caută grapă.</t>
        </is>
      </c>
    </row>
    <row r="6">
      <c r="A6" s="7">
        <f>IF(B6&lt;&gt;"", ROW()-4, "")</f>
        <v/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8">
        <f>IF(B7&lt;&gt;"", ROW()-4,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7">
        <f>IF(B8&lt;&gt;"", ROW()-4, "")</f>
        <v/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8">
        <f>IF(B9&lt;&gt;"", ROW()-4,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7">
        <f>IF(B10&lt;&gt;"", ROW()-4, "")</f>
        <v/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8">
        <f>IF(B11&lt;&gt;"", ROW()-4,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7">
        <f>IF(B12&lt;&gt;"", ROW()-4, "")</f>
        <v/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8">
        <f>IF(B13&lt;&gt;"", ROW()-4,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7">
        <f>IF(B14&lt;&gt;"", ROW()-4, "")</f>
        <v/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8">
        <f>IF(B15&lt;&gt;"", ROW()-4,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7">
        <f>IF(B16&lt;&gt;"", ROW()-4, "")</f>
        <v/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8">
        <f>IF(B17&lt;&gt;"", ROW()-4,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7">
        <f>IF(B18&lt;&gt;"", ROW()-4, "")</f>
        <v/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8">
        <f>IF(B19&lt;&gt;"", ROW()-4,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7">
        <f>IF(B20&lt;&gt;"", ROW()-4, "")</f>
        <v/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8">
        <f>IF(B21&lt;&gt;"", ROW()-4,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7">
        <f>IF(B22&lt;&gt;"", ROW()-4, "")</f>
        <v/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8">
        <f>IF(B23&lt;&gt;"", ROW()-4,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7">
        <f>IF(B24&lt;&gt;"", ROW()-4, "")</f>
        <v/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8">
        <f>IF(B25&lt;&gt;"", ROW()-4,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7">
        <f>IF(B26&lt;&gt;"", ROW()-4, "")</f>
        <v/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8">
        <f>IF(B27&lt;&gt;"", ROW()-4,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7">
        <f>IF(B28&lt;&gt;"", ROW()-4, "")</f>
        <v/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8">
        <f>IF(B29&lt;&gt;"", ROW()-4,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7">
        <f>IF(B30&lt;&gt;"", ROW()-4, "")</f>
        <v/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8">
        <f>IF(B31&lt;&gt;"", ROW()-4,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7">
        <f>IF(B32&lt;&gt;"", ROW()-4, "")</f>
        <v/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8">
        <f>IF(B33&lt;&gt;"", ROW()-4,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7">
        <f>IF(B34&lt;&gt;"", ROW()-4, "")</f>
        <v/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8">
        <f>IF(B35&lt;&gt;"", ROW()-4,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7">
        <f>IF(B36&lt;&gt;"", ROW()-4, "")</f>
        <v/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8">
        <f>IF(B37&lt;&gt;"", ROW()-4,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7">
        <f>IF(B38&lt;&gt;"", ROW()-4, "")</f>
        <v/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8">
        <f>IF(B39&lt;&gt;"", ROW()-4,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7">
        <f>IF(B40&lt;&gt;"", ROW()-4, "")</f>
        <v/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8">
        <f>IF(B41&lt;&gt;"", ROW()-4,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7">
        <f>IF(B42&lt;&gt;"", ROW()-4, "")</f>
        <v/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8">
        <f>IF(B43&lt;&gt;"", ROW()-4,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7">
        <f>IF(B44&lt;&gt;"", ROW()-4, "")</f>
        <v/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8">
        <f>IF(B45&lt;&gt;"", ROW()-4,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7">
        <f>IF(B46&lt;&gt;"", ROW()-4, "")</f>
        <v/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8">
        <f>IF(B47&lt;&gt;"", ROW()-4,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7">
        <f>IF(B48&lt;&gt;"", ROW()-4, "")</f>
        <v/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8">
        <f>IF(B49&lt;&gt;"", ROW()-4,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7">
        <f>IF(B50&lt;&gt;"", ROW()-4, "")</f>
        <v/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8">
        <f>IF(B51&lt;&gt;"", ROW()-4,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7">
        <f>IF(B52&lt;&gt;"", ROW()-4, "")</f>
        <v/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8">
        <f>IF(B53&lt;&gt;"", ROW()-4, 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7">
        <f>IF(B54&lt;&gt;"", ROW()-4, "")</f>
        <v/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8">
        <f>IF(B55&lt;&gt;"", ROW()-4, 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7">
        <f>IF(B56&lt;&gt;"", ROW()-4, "")</f>
        <v/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8">
        <f>IF(B57&lt;&gt;"", ROW()-4, 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7">
        <f>IF(B58&lt;&gt;"", ROW()-4, "")</f>
        <v/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8">
        <f>IF(B59&lt;&gt;"", ROW()-4, 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7">
        <f>IF(B60&lt;&gt;"", ROW()-4, "")</f>
        <v/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8">
        <f>IF(B61&lt;&gt;"", ROW()-4, 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7">
        <f>IF(B62&lt;&gt;"", ROW()-4, "")</f>
        <v/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8">
        <f>IF(B63&lt;&gt;"", ROW()-4, 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7">
        <f>IF(B64&lt;&gt;"", ROW()-4, "")</f>
        <v/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8">
        <f>IF(B65&lt;&gt;"", ROW()-4, 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7">
        <f>IF(B66&lt;&gt;"", ROW()-4, "")</f>
        <v/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8">
        <f>IF(B67&lt;&gt;"", ROW()-4, 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7">
        <f>IF(B68&lt;&gt;"", ROW()-4, "")</f>
        <v/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8">
        <f>IF(B69&lt;&gt;"", ROW()-4, 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7">
        <f>IF(B70&lt;&gt;"", ROW()-4, "")</f>
        <v/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8">
        <f>IF(B71&lt;&gt;"", ROW()-4, 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7">
        <f>IF(B72&lt;&gt;"", ROW()-4, "")</f>
        <v/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8">
        <f>IF(B73&lt;&gt;"", ROW()-4, 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7">
        <f>IF(B74&lt;&gt;"", ROW()-4, "")</f>
        <v/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8">
        <f>IF(B75&lt;&gt;"", ROW()-4, 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7">
        <f>IF(B76&lt;&gt;"", ROW()-4, "")</f>
        <v/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8">
        <f>IF(B77&lt;&gt;"", ROW()-4, 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7">
        <f>IF(B78&lt;&gt;"", ROW()-4, "")</f>
        <v/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8">
        <f>IF(B79&lt;&gt;"", ROW()-4, 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7">
        <f>IF(B80&lt;&gt;"", ROW()-4, "")</f>
        <v/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8">
        <f>IF(B81&lt;&gt;"", ROW()-4, 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7">
        <f>IF(B82&lt;&gt;"", ROW()-4, "")</f>
        <v/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8">
        <f>IF(B83&lt;&gt;"", ROW()-4, 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7">
        <f>IF(B84&lt;&gt;"", ROW()-4, "")</f>
        <v/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8">
        <f>IF(B85&lt;&gt;"", ROW()-4, 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7">
        <f>IF(B86&lt;&gt;"", ROW()-4, "")</f>
        <v/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8">
        <f>IF(B87&lt;&gt;"", ROW()-4, 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7">
        <f>IF(B88&lt;&gt;"", ROW()-4, "")</f>
        <v/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8">
        <f>IF(B89&lt;&gt;"", ROW()-4, 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7">
        <f>IF(B90&lt;&gt;"", ROW()-4, "")</f>
        <v/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8">
        <f>IF(B91&lt;&gt;"", ROW()-4, 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7">
        <f>IF(B92&lt;&gt;"", ROW()-4, "")</f>
        <v/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8">
        <f>IF(B93&lt;&gt;"", ROW()-4, 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7">
        <f>IF(B94&lt;&gt;"", ROW()-4, "")</f>
        <v/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8">
        <f>IF(B95&lt;&gt;"", ROW()-4, 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7">
        <f>IF(B96&lt;&gt;"", ROW()-4, "")</f>
        <v/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8">
        <f>IF(B97&lt;&gt;"", ROW()-4, 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7">
        <f>IF(B98&lt;&gt;"", ROW()-4, "")</f>
        <v/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8">
        <f>IF(B99&lt;&gt;"", ROW()-4, 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7">
        <f>IF(B100&lt;&gt;"", ROW()-4, "")</f>
        <v/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8">
        <f>IF(B101&lt;&gt;"", ROW()-4, 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7">
        <f>IF(B102&lt;&gt;"", ROW()-4, "")</f>
        <v/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8">
        <f>IF(B103&lt;&gt;"", ROW()-4, "")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7">
        <f>IF(B104&lt;&gt;"", ROW()-4, "")</f>
        <v/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8">
        <f>IF(B105&lt;&gt;"", ROW()-4, "")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7">
        <f>IF(B106&lt;&gt;"", ROW()-4, "")</f>
        <v/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8">
        <f>IF(B107&lt;&gt;"", ROW()-4, "")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7">
        <f>IF(B108&lt;&gt;"", ROW()-4, "")</f>
        <v/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8">
        <f>IF(B109&lt;&gt;"", ROW()-4, "")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7">
        <f>IF(B110&lt;&gt;"", ROW()-4, "")</f>
        <v/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</row>
    <row r="111">
      <c r="A111" s="8">
        <f>IF(B111&lt;&gt;"", ROW()-4, "")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7">
        <f>IF(B112&lt;&gt;"", ROW()-4, "")</f>
        <v/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</row>
    <row r="113">
      <c r="A113" s="8">
        <f>IF(B113&lt;&gt;"", ROW()-4, "")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7">
        <f>IF(B114&lt;&gt;"", ROW()-4, "")</f>
        <v/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</row>
    <row r="115">
      <c r="A115" s="8">
        <f>IF(B115&lt;&gt;"", ROW()-4, "")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7">
        <f>IF(B116&lt;&gt;"", ROW()-4, "")</f>
        <v/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</row>
    <row r="117">
      <c r="A117" s="8">
        <f>IF(B117&lt;&gt;"", ROW()-4, "")</f>
        <v/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7">
        <f>IF(B118&lt;&gt;"", ROW()-4, "")</f>
        <v/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</row>
    <row r="119">
      <c r="A119" s="8">
        <f>IF(B119&lt;&gt;"", ROW()-4, "")</f>
        <v/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7">
        <f>IF(B120&lt;&gt;"", ROW()-4, "")</f>
        <v/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</row>
    <row r="121">
      <c r="A121" s="8">
        <f>IF(B121&lt;&gt;"", ROW()-4, "")</f>
        <v/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7">
        <f>IF(B122&lt;&gt;"", ROW()-4, "")</f>
        <v/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</row>
    <row r="123">
      <c r="A123" s="8">
        <f>IF(B123&lt;&gt;"", ROW()-4, "")</f>
        <v/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7">
        <f>IF(B124&lt;&gt;"", ROW()-4, "")</f>
        <v/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</row>
    <row r="125">
      <c r="A125" s="8">
        <f>IF(B125&lt;&gt;"", ROW()-4, "")</f>
        <v/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7">
        <f>IF(B126&lt;&gt;"", ROW()-4, "")</f>
        <v/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</row>
    <row r="127">
      <c r="A127" s="8">
        <f>IF(B127&lt;&gt;"", ROW()-4, "")</f>
        <v/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7">
        <f>IF(B128&lt;&gt;"", ROW()-4, "")</f>
        <v/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</row>
    <row r="129">
      <c r="A129" s="8">
        <f>IF(B129&lt;&gt;"", ROW()-4, "")</f>
        <v/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7">
        <f>IF(B130&lt;&gt;"", ROW()-4, "")</f>
        <v/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</row>
    <row r="131">
      <c r="A131" s="8">
        <f>IF(B131&lt;&gt;"", ROW()-4, "")</f>
        <v/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7">
        <f>IF(B132&lt;&gt;"", ROW()-4, "")</f>
        <v/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</row>
    <row r="133">
      <c r="A133" s="8">
        <f>IF(B133&lt;&gt;"", ROW()-4, "")</f>
        <v/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7">
        <f>IF(B134&lt;&gt;"", ROW()-4, "")</f>
        <v/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</row>
    <row r="135">
      <c r="A135" s="8">
        <f>IF(B135&lt;&gt;"", ROW()-4, "")</f>
        <v/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7">
        <f>IF(B136&lt;&gt;"", ROW()-4, "")</f>
        <v/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8">
        <f>IF(B137&lt;&gt;"", ROW()-4, "")</f>
        <v/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7">
        <f>IF(B138&lt;&gt;"", ROW()-4, "")</f>
        <v/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8">
        <f>IF(B139&lt;&gt;"", ROW()-4, "")</f>
        <v/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7">
        <f>IF(B140&lt;&gt;"", ROW()-4, "")</f>
        <v/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8">
        <f>IF(B141&lt;&gt;"", ROW()-4, "")</f>
        <v/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7">
        <f>IF(B142&lt;&gt;"", ROW()-4, "")</f>
        <v/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8">
        <f>IF(B143&lt;&gt;"", ROW()-4, "")</f>
        <v/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7">
        <f>IF(B144&lt;&gt;"", ROW()-4, "")</f>
        <v/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</row>
    <row r="145">
      <c r="A145" s="8">
        <f>IF(B145&lt;&gt;"", ROW()-4, "")</f>
        <v/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7">
        <f>IF(B146&lt;&gt;"", ROW()-4, "")</f>
        <v/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8">
        <f>IF(B147&lt;&gt;"", ROW()-4, "")</f>
        <v/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7">
        <f>IF(B148&lt;&gt;"", ROW()-4, "")</f>
        <v/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8">
        <f>IF(B149&lt;&gt;"", ROW()-4, "")</f>
        <v/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7">
        <f>IF(B150&lt;&gt;"", ROW()-4, "")</f>
        <v/>
      </c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8">
        <f>IF(B151&lt;&gt;"", ROW()-4, "")</f>
        <v/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7">
        <f>IF(B152&lt;&gt;"", ROW()-4, "")</f>
        <v/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8">
        <f>IF(B153&lt;&gt;"", ROW()-4, "")</f>
        <v/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7">
        <f>IF(B154&lt;&gt;"", ROW()-4, "")</f>
        <v/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8">
        <f>IF(B155&lt;&gt;"", ROW()-4, "")</f>
        <v/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</row>
    <row r="156">
      <c r="A156" s="7">
        <f>IF(B156&lt;&gt;"", ROW()-4, "")</f>
        <v/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8">
        <f>IF(B157&lt;&gt;"", ROW()-4, "")</f>
        <v/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</row>
    <row r="158">
      <c r="A158" s="7">
        <f>IF(B158&lt;&gt;"", ROW()-4, "")</f>
        <v/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8">
        <f>IF(B159&lt;&gt;"", ROW()-4, "")</f>
        <v/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</row>
    <row r="160">
      <c r="A160" s="7">
        <f>IF(B160&lt;&gt;"", ROW()-4, "")</f>
        <v/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8">
        <f>IF(B161&lt;&gt;"", ROW()-4, "")</f>
        <v/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</row>
    <row r="162">
      <c r="A162" s="7">
        <f>IF(B162&lt;&gt;"", ROW()-4, "")</f>
        <v/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>
      <c r="A163" s="8">
        <f>IF(B163&lt;&gt;"", ROW()-4, "")</f>
        <v/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</row>
    <row r="164">
      <c r="A164" s="7">
        <f>IF(B164&lt;&gt;"", ROW()-4, "")</f>
        <v/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</row>
    <row r="165">
      <c r="A165" s="8">
        <f>IF(B165&lt;&gt;"", ROW()-4, "")</f>
        <v/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</row>
    <row r="166">
      <c r="A166" s="7">
        <f>IF(B166&lt;&gt;"", ROW()-4, "")</f>
        <v/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</row>
    <row r="167">
      <c r="A167" s="8">
        <f>IF(B167&lt;&gt;"", ROW()-4, "")</f>
        <v/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</row>
    <row r="168">
      <c r="A168" s="7">
        <f>IF(B168&lt;&gt;"", ROW()-4, "")</f>
        <v/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</row>
    <row r="169">
      <c r="A169" s="8">
        <f>IF(B169&lt;&gt;"", ROW()-4, "")</f>
        <v/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</row>
    <row r="170">
      <c r="A170" s="7">
        <f>IF(B170&lt;&gt;"", ROW()-4, "")</f>
        <v/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</row>
    <row r="171">
      <c r="A171" s="8">
        <f>IF(B171&lt;&gt;"", ROW()-4, "")</f>
        <v/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</row>
    <row r="172">
      <c r="A172" s="7">
        <f>IF(B172&lt;&gt;"", ROW()-4, "")</f>
        <v/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>
      <c r="A173" s="8">
        <f>IF(B173&lt;&gt;"", ROW()-4, "")</f>
        <v/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</row>
    <row r="174">
      <c r="A174" s="7">
        <f>IF(B174&lt;&gt;"", ROW()-4, "")</f>
        <v/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8">
        <f>IF(B175&lt;&gt;"", ROW()-4, "")</f>
        <v/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</row>
    <row r="176">
      <c r="A176" s="7">
        <f>IF(B176&lt;&gt;"", ROW()-4, "")</f>
        <v/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8">
        <f>IF(B177&lt;&gt;"", ROW()-4, "")</f>
        <v/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</row>
    <row r="178">
      <c r="A178" s="7">
        <f>IF(B178&lt;&gt;"", ROW()-4, "")</f>
        <v/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>
      <c r="A179" s="8">
        <f>IF(B179&lt;&gt;"", ROW()-4, "")</f>
        <v/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</row>
    <row r="180">
      <c r="A180" s="7">
        <f>IF(B180&lt;&gt;"", ROW()-4, "")</f>
        <v/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8">
        <f>IF(B181&lt;&gt;"", ROW()-4, "")</f>
        <v/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</row>
    <row r="182">
      <c r="A182" s="7">
        <f>IF(B182&lt;&gt;"", ROW()-4, "")</f>
        <v/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8">
        <f>IF(B183&lt;&gt;"", ROW()-4, "")</f>
        <v/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</row>
    <row r="184">
      <c r="A184" s="7">
        <f>IF(B184&lt;&gt;"", ROW()-4, "")</f>
        <v/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</row>
    <row r="185">
      <c r="A185" s="8">
        <f>IF(B185&lt;&gt;"", ROW()-4, "")</f>
        <v/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</row>
    <row r="186">
      <c r="A186" s="7">
        <f>IF(B186&lt;&gt;"", ROW()-4, "")</f>
        <v/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8">
        <f>IF(B187&lt;&gt;"", ROW()-4, "")</f>
        <v/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</row>
    <row r="188">
      <c r="A188" s="7">
        <f>IF(B188&lt;&gt;"", ROW()-4, "")</f>
        <v/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</row>
    <row r="189">
      <c r="A189" s="8">
        <f>IF(B189&lt;&gt;"", ROW()-4, "")</f>
        <v/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</row>
    <row r="190">
      <c r="A190" s="7">
        <f>IF(B190&lt;&gt;"", ROW()-4, "")</f>
        <v/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8">
        <f>IF(B191&lt;&gt;"", ROW()-4, "")</f>
        <v/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</row>
    <row r="192">
      <c r="A192" s="7">
        <f>IF(B192&lt;&gt;"", ROW()-4, "")</f>
        <v/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8">
        <f>IF(B193&lt;&gt;"", ROW()-4, "")</f>
        <v/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</row>
    <row r="194">
      <c r="A194" s="7">
        <f>IF(B194&lt;&gt;"", ROW()-4, "")</f>
        <v/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8">
        <f>IF(B195&lt;&gt;"", ROW()-4, "")</f>
        <v/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</row>
    <row r="196">
      <c r="A196" s="7">
        <f>IF(B196&lt;&gt;"", ROW()-4, "")</f>
        <v/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8">
        <f>IF(B197&lt;&gt;"", ROW()-4, "")</f>
        <v/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</row>
    <row r="198">
      <c r="A198" s="7">
        <f>IF(B198&lt;&gt;"", ROW()-4, "")</f>
        <v/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8">
        <f>IF(B199&lt;&gt;"", ROW()-4, "")</f>
        <v/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</row>
    <row r="200">
      <c r="A200" s="7">
        <f>IF(B200&lt;&gt;"", ROW()-4, "")</f>
        <v/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  <row r="201">
      <c r="A201" s="8">
        <f>IF(B201&lt;&gt;"", ROW()-4, "")</f>
        <v/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</row>
    <row r="202">
      <c r="A202" s="7">
        <f>IF(B202&lt;&gt;"", ROW()-4, "")</f>
        <v/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</row>
    <row r="203">
      <c r="A203" s="8">
        <f>IF(B203&lt;&gt;"", ROW()-4, "")</f>
        <v/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</row>
    <row r="204">
      <c r="A204" s="7">
        <f>IF(B204&lt;&gt;"", ROW()-4, "")</f>
        <v/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</row>
  </sheetData>
  <mergeCells count="2">
    <mergeCell ref="A2:N2"/>
    <mergeCell ref="A1:N1"/>
  </mergeCells>
  <conditionalFormatting sqref="K5:K204">
    <cfRule type="cellIs" priority="1" operator="equal" dxfId="0">
      <formula>"Da"</formula>
    </cfRule>
    <cfRule type="cellIs" priority="2" operator="equal" dxfId="1">
      <formula>"Nu"</formula>
    </cfRule>
    <cfRule type="cellIs" priority="3" operator="equal" dxfId="2">
      <formula>"Poate"</formula>
    </cfRule>
  </conditionalFormatting>
  <dataValidations count="2">
    <dataValidation sqref="E5:E204" showDropDown="0" showInputMessage="0" showErrorMessage="0" allowBlank="1" error="Selectează un județ din listă" prompt="Alege județul" type="list">
      <formula1>"Bihor,Arad,Satu Mare,Timiș,Cluj,Sălaj,Maramureș,Alt județ"</formula1>
    </dataValidation>
    <dataValidation sqref="K5:K204" showDropDown="0" showInputMessage="0" showErrorMessage="0" allowBlank="1" type="list">
      <formula1>"Da,Nu,Poate"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/>
  </sheetPr>
  <dimension ref="A1:S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0" customWidth="1" min="4" max="4"/>
    <col width="20" customWidth="1" min="5" max="5"/>
    <col width="16" customWidth="1" min="6" max="6"/>
    <col width="14" customWidth="1" min="7" max="7"/>
    <col width="10" customWidth="1" min="8" max="8"/>
    <col width="10" customWidth="1" min="9" max="9"/>
    <col width="18" customWidth="1" min="10" max="10"/>
    <col width="16" customWidth="1" min="11" max="11"/>
    <col width="14" customWidth="1" min="12" max="12"/>
    <col width="10" customWidth="1" min="13" max="13"/>
    <col width="18" customWidth="1" min="14" max="14"/>
    <col width="14" customWidth="1" min="15" max="15"/>
    <col width="14" customWidth="1" min="16" max="16"/>
    <col width="12" customWidth="1" min="17" max="17"/>
    <col width="22" customWidth="1" min="18" max="18"/>
    <col width="30" customWidth="1" min="19" max="19"/>
  </cols>
  <sheetData>
    <row r="1" ht="35" customHeight="1">
      <c r="A1" s="1" t="inlineStr">
        <is>
          <t>AGRO SALSO — LEAD-URI NOI (din reclame, referral, telefon, vizite)</t>
        </is>
      </c>
    </row>
    <row r="2">
      <c r="A2" s="9" t="inlineStr">
        <is>
          <t>⚡ REGULĂ: Lead NOU = sună în maxim 2 ORE. Lead AFIR = sună în maxim 1 ORĂ.</t>
        </is>
      </c>
    </row>
    <row r="3">
      <c r="A3" s="3" t="inlineStr">
        <is>
          <t>Total lead-uri:</t>
        </is>
      </c>
      <c r="B3" s="10">
        <f>COUNTA(E5:E504)</f>
        <v/>
      </c>
      <c r="C3" s="3" t="inlineStr">
        <is>
          <t>Noi (nesunate):</t>
        </is>
      </c>
      <c r="D3" s="10">
        <f>COUNTIF(N5:N504,"Nou")</f>
        <v/>
      </c>
      <c r="E3" s="3" t="inlineStr">
        <is>
          <t>Calificați:</t>
        </is>
      </c>
      <c r="F3" s="4">
        <f>COUNTIF(Q5:Q504,"Calificat")</f>
        <v/>
      </c>
      <c r="G3" s="3" t="inlineStr">
        <is>
          <t>Vânduți:</t>
        </is>
      </c>
      <c r="H3" s="4">
        <f>COUNTIF(N5:N504,"Vândut")</f>
        <v/>
      </c>
      <c r="I3" s="3" t="inlineStr">
        <is>
          <t>Pierduți:</t>
        </is>
      </c>
      <c r="J3" s="11">
        <f>COUNTIF(N5:N504,"Pierdut")</f>
        <v/>
      </c>
      <c r="K3" s="3" t="inlineStr">
        <is>
          <t>Rată conversie:</t>
        </is>
      </c>
      <c r="L3" s="12">
        <f>IFERROR(COUNTIF(N5:N504,"Vândut")/COUNTA(E5:E504),0)</f>
        <v/>
      </c>
    </row>
    <row r="4" ht="45" customHeight="1">
      <c r="A4" s="5" t="inlineStr">
        <is>
          <t>Nr.</t>
        </is>
      </c>
      <c r="B4" s="5" t="inlineStr">
        <is>
          <t>Data
lead</t>
        </is>
      </c>
      <c r="C4" s="5" t="inlineStr">
        <is>
          <t>Sursă</t>
        </is>
      </c>
      <c r="D4" s="5" t="inlineStr">
        <is>
          <t>Campanie /
Detalii sursă</t>
        </is>
      </c>
      <c r="E4" s="5" t="inlineStr">
        <is>
          <t>Nume</t>
        </is>
      </c>
      <c r="F4" s="5" t="inlineStr">
        <is>
          <t>Telefon</t>
        </is>
      </c>
      <c r="G4" s="5" t="inlineStr">
        <is>
          <t>Localitate</t>
        </is>
      </c>
      <c r="H4" s="5" t="inlineStr">
        <is>
          <t>Județ</t>
        </is>
      </c>
      <c r="I4" s="5" t="inlineStr">
        <is>
          <t>Suprafață
fermă (ha)</t>
        </is>
      </c>
      <c r="J4" s="5" t="inlineStr">
        <is>
          <t>Tractor
deținut</t>
        </is>
      </c>
      <c r="K4" s="5" t="inlineStr">
        <is>
          <t>Produs
interesat</t>
        </is>
      </c>
      <c r="L4" s="5" t="inlineStr">
        <is>
          <t>Model
interesat</t>
        </is>
      </c>
      <c r="M4" s="5" t="inlineStr">
        <is>
          <t>Interes
AFIR</t>
        </is>
      </c>
      <c r="N4" s="13" t="inlineStr">
        <is>
          <t>STATUS</t>
        </is>
      </c>
      <c r="O4" s="5" t="inlineStr">
        <is>
          <t>Data ultimului
contact</t>
        </is>
      </c>
      <c r="P4" s="5" t="inlineStr">
        <is>
          <t>Următorul
follow-up</t>
        </is>
      </c>
      <c r="Q4" s="5" t="inlineStr">
        <is>
          <t>Calitate
lead</t>
        </is>
      </c>
      <c r="R4" s="5" t="inlineStr">
        <is>
          <t>Motiv pierdere
(dacă pierdut)</t>
        </is>
      </c>
      <c r="S4" s="5" t="inlineStr">
        <is>
          <t>Note</t>
        </is>
      </c>
    </row>
    <row r="5">
      <c r="A5" s="8">
        <f>IF(E5&lt;&gt;"", ROW()-4,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</row>
    <row r="6">
      <c r="A6" s="7">
        <f>IF(E6&lt;&gt;"", ROW()-4, "")</f>
        <v/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>
      <c r="A7" s="8">
        <f>IF(E7&lt;&gt;"", ROW()-4,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>
      <c r="A8" s="7">
        <f>IF(E8&lt;&gt;"", ROW()-4, "")</f>
        <v/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>
      <c r="A9" s="8">
        <f>IF(E9&lt;&gt;"", ROW()-4,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>
      <c r="A10" s="7">
        <f>IF(E10&lt;&gt;"", ROW()-4, "")</f>
        <v/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8">
        <f>IF(E11&lt;&gt;"", ROW()-4,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</row>
    <row r="12">
      <c r="A12" s="7">
        <f>IF(E12&lt;&gt;"", ROW()-4, "")</f>
        <v/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>
      <c r="A13" s="8">
        <f>IF(E13&lt;&gt;"", ROW()-4,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A14" s="7">
        <f>IF(E14&lt;&gt;"", ROW()-4, "")</f>
        <v/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8">
        <f>IF(E15&lt;&gt;"", ROW()-4,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A16" s="7">
        <f>IF(E16&lt;&gt;"", ROW()-4, "")</f>
        <v/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8">
        <f>IF(E17&lt;&gt;"", ROW()-4,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</row>
    <row r="18">
      <c r="A18" s="7">
        <f>IF(E18&lt;&gt;"", ROW()-4, "")</f>
        <v/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>
      <c r="A19" s="8">
        <f>IF(E19&lt;&gt;"", ROW()-4,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</row>
    <row r="20">
      <c r="A20" s="7">
        <f>IF(E20&lt;&gt;"", ROW()-4, "")</f>
        <v/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>
      <c r="A21" s="8">
        <f>IF(E21&lt;&gt;"", ROW()-4,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</row>
    <row r="22">
      <c r="A22" s="7">
        <f>IF(E22&lt;&gt;"", ROW()-4, "")</f>
        <v/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  <row r="23">
      <c r="A23" s="8">
        <f>IF(E23&lt;&gt;"", ROW()-4,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</row>
    <row r="24">
      <c r="A24" s="7">
        <f>IF(E24&lt;&gt;"", ROW()-4, "")</f>
        <v/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8">
        <f>IF(E25&lt;&gt;"", ROW()-4,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</row>
    <row r="26">
      <c r="A26" s="7">
        <f>IF(E26&lt;&gt;"", ROW()-4, "")</f>
        <v/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8">
        <f>IF(E27&lt;&gt;"", ROW()-4,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</row>
    <row r="28">
      <c r="A28" s="7">
        <f>IF(E28&lt;&gt;"", ROW()-4, "")</f>
        <v/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8">
        <f>IF(E29&lt;&gt;"", ROW()-4,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</row>
    <row r="30">
      <c r="A30" s="7">
        <f>IF(E30&lt;&gt;"", ROW()-4, "")</f>
        <v/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  <row r="31">
      <c r="A31" s="8">
        <f>IF(E31&lt;&gt;"", ROW()-4,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</row>
    <row r="32">
      <c r="A32" s="7">
        <f>IF(E32&lt;&gt;"", ROW()-4, "")</f>
        <v/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</row>
    <row r="33">
      <c r="A33" s="8">
        <f>IF(E33&lt;&gt;"", ROW()-4,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</row>
    <row r="34">
      <c r="A34" s="7">
        <f>IF(E34&lt;&gt;"", ROW()-4, "")</f>
        <v/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</row>
    <row r="35">
      <c r="A35" s="8">
        <f>IF(E35&lt;&gt;"", ROW()-4,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</row>
    <row r="36">
      <c r="A36" s="7">
        <f>IF(E36&lt;&gt;"", ROW()-4, "")</f>
        <v/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</row>
    <row r="37">
      <c r="A37" s="8">
        <f>IF(E37&lt;&gt;"", ROW()-4,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</row>
    <row r="38">
      <c r="A38" s="7">
        <f>IF(E38&lt;&gt;"", ROW()-4, "")</f>
        <v/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</row>
    <row r="39">
      <c r="A39" s="8">
        <f>IF(E39&lt;&gt;"", ROW()-4,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</row>
    <row r="40">
      <c r="A40" s="7">
        <f>IF(E40&lt;&gt;"", ROW()-4, "")</f>
        <v/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</row>
    <row r="41">
      <c r="A41" s="8">
        <f>IF(E41&lt;&gt;"", ROW()-4,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</row>
    <row r="42">
      <c r="A42" s="7">
        <f>IF(E42&lt;&gt;"", ROW()-4, "")</f>
        <v/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</row>
    <row r="43">
      <c r="A43" s="8">
        <f>IF(E43&lt;&gt;"", ROW()-4,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</row>
    <row r="44">
      <c r="A44" s="7">
        <f>IF(E44&lt;&gt;"", ROW()-4, "")</f>
        <v/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</row>
    <row r="45">
      <c r="A45" s="8">
        <f>IF(E45&lt;&gt;"", ROW()-4,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</row>
    <row r="46">
      <c r="A46" s="7">
        <f>IF(E46&lt;&gt;"", ROW()-4, "")</f>
        <v/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8">
        <f>IF(E47&lt;&gt;"", ROW()-4,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</row>
    <row r="48">
      <c r="A48" s="7">
        <f>IF(E48&lt;&gt;"", ROW()-4, "")</f>
        <v/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</row>
    <row r="49">
      <c r="A49" s="8">
        <f>IF(E49&lt;&gt;"", ROW()-4,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</row>
    <row r="50">
      <c r="A50" s="7">
        <f>IF(E50&lt;&gt;"", ROW()-4, "")</f>
        <v/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</row>
    <row r="51">
      <c r="A51" s="8">
        <f>IF(E51&lt;&gt;"", ROW()-4,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</row>
    <row r="52">
      <c r="A52" s="7">
        <f>IF(E52&lt;&gt;"", ROW()-4, "")</f>
        <v/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8">
        <f>IF(E53&lt;&gt;"", ROW()-4, 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</row>
    <row r="54">
      <c r="A54" s="7">
        <f>IF(E54&lt;&gt;"", ROW()-4, "")</f>
        <v/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</row>
    <row r="55">
      <c r="A55" s="8">
        <f>IF(E55&lt;&gt;"", ROW()-4, 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</row>
    <row r="56">
      <c r="A56" s="7">
        <f>IF(E56&lt;&gt;"", ROW()-4, "")</f>
        <v/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</row>
    <row r="57">
      <c r="A57" s="8">
        <f>IF(E57&lt;&gt;"", ROW()-4, 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</row>
    <row r="58">
      <c r="A58" s="7">
        <f>IF(E58&lt;&gt;"", ROW()-4, "")</f>
        <v/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8">
        <f>IF(E59&lt;&gt;"", ROW()-4, 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</row>
    <row r="60">
      <c r="A60" s="7">
        <f>IF(E60&lt;&gt;"", ROW()-4, "")</f>
        <v/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</row>
    <row r="61">
      <c r="A61" s="8">
        <f>IF(E61&lt;&gt;"", ROW()-4, 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</row>
    <row r="62">
      <c r="A62" s="7">
        <f>IF(E62&lt;&gt;"", ROW()-4, "")</f>
        <v/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</row>
    <row r="63">
      <c r="A63" s="8">
        <f>IF(E63&lt;&gt;"", ROW()-4, 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</row>
    <row r="64">
      <c r="A64" s="7">
        <f>IF(E64&lt;&gt;"", ROW()-4, "")</f>
        <v/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</row>
    <row r="65">
      <c r="A65" s="8">
        <f>IF(E65&lt;&gt;"", ROW()-4, 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  <row r="66">
      <c r="A66" s="7">
        <f>IF(E66&lt;&gt;"", ROW()-4, "")</f>
        <v/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</row>
    <row r="67">
      <c r="A67" s="8">
        <f>IF(E67&lt;&gt;"", ROW()-4, 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</row>
    <row r="68">
      <c r="A68" s="7">
        <f>IF(E68&lt;&gt;"", ROW()-4, "")</f>
        <v/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</row>
    <row r="69">
      <c r="A69" s="8">
        <f>IF(E69&lt;&gt;"", ROW()-4, 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</row>
    <row r="70">
      <c r="A70" s="7">
        <f>IF(E70&lt;&gt;"", ROW()-4, "")</f>
        <v/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</row>
    <row r="71">
      <c r="A71" s="8">
        <f>IF(E71&lt;&gt;"", ROW()-4, 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</row>
    <row r="72">
      <c r="A72" s="7">
        <f>IF(E72&lt;&gt;"", ROW()-4, "")</f>
        <v/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</row>
    <row r="73">
      <c r="A73" s="8">
        <f>IF(E73&lt;&gt;"", ROW()-4, 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</row>
    <row r="74">
      <c r="A74" s="7">
        <f>IF(E74&lt;&gt;"", ROW()-4, "")</f>
        <v/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</row>
    <row r="75">
      <c r="A75" s="8">
        <f>IF(E75&lt;&gt;"", ROW()-4, 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</row>
    <row r="76">
      <c r="A76" s="7">
        <f>IF(E76&lt;&gt;"", ROW()-4, "")</f>
        <v/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</row>
    <row r="77">
      <c r="A77" s="8">
        <f>IF(E77&lt;&gt;"", ROW()-4, 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</row>
    <row r="78">
      <c r="A78" s="7">
        <f>IF(E78&lt;&gt;"", ROW()-4, "")</f>
        <v/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</row>
    <row r="79">
      <c r="A79" s="8">
        <f>IF(E79&lt;&gt;"", ROW()-4, 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</row>
    <row r="80">
      <c r="A80" s="7">
        <f>IF(E80&lt;&gt;"", ROW()-4, "")</f>
        <v/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</row>
    <row r="81">
      <c r="A81" s="8">
        <f>IF(E81&lt;&gt;"", ROW()-4, 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</row>
    <row r="82">
      <c r="A82" s="7">
        <f>IF(E82&lt;&gt;"", ROW()-4, "")</f>
        <v/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</row>
    <row r="83">
      <c r="A83" s="8">
        <f>IF(E83&lt;&gt;"", ROW()-4, 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</row>
    <row r="84">
      <c r="A84" s="7">
        <f>IF(E84&lt;&gt;"", ROW()-4, "")</f>
        <v/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</row>
    <row r="85">
      <c r="A85" s="8">
        <f>IF(E85&lt;&gt;"", ROW()-4, 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</row>
    <row r="86">
      <c r="A86" s="7">
        <f>IF(E86&lt;&gt;"", ROW()-4, "")</f>
        <v/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</row>
    <row r="87">
      <c r="A87" s="8">
        <f>IF(E87&lt;&gt;"", ROW()-4, 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</row>
    <row r="88">
      <c r="A88" s="7">
        <f>IF(E88&lt;&gt;"", ROW()-4, "")</f>
        <v/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</row>
    <row r="89">
      <c r="A89" s="8">
        <f>IF(E89&lt;&gt;"", ROW()-4, 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</row>
    <row r="90">
      <c r="A90" s="7">
        <f>IF(E90&lt;&gt;"", ROW()-4, "")</f>
        <v/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</row>
    <row r="91">
      <c r="A91" s="8">
        <f>IF(E91&lt;&gt;"", ROW()-4, 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</row>
    <row r="92">
      <c r="A92" s="7">
        <f>IF(E92&lt;&gt;"", ROW()-4, "")</f>
        <v/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</row>
    <row r="93">
      <c r="A93" s="8">
        <f>IF(E93&lt;&gt;"", ROW()-4, 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</row>
    <row r="94">
      <c r="A94" s="7">
        <f>IF(E94&lt;&gt;"", ROW()-4, "")</f>
        <v/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>
      <c r="A95" s="8">
        <f>IF(E95&lt;&gt;"", ROW()-4, 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</row>
    <row r="96">
      <c r="A96" s="7">
        <f>IF(E96&lt;&gt;"", ROW()-4, "")</f>
        <v/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</row>
    <row r="97">
      <c r="A97" s="8">
        <f>IF(E97&lt;&gt;"", ROW()-4, 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</row>
    <row r="98">
      <c r="A98" s="7">
        <f>IF(E98&lt;&gt;"", ROW()-4, "")</f>
        <v/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</row>
    <row r="99">
      <c r="A99" s="8">
        <f>IF(E99&lt;&gt;"", ROW()-4, 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</row>
    <row r="100">
      <c r="A100" s="7">
        <f>IF(E100&lt;&gt;"", ROW()-4, "")</f>
        <v/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</row>
    <row r="101">
      <c r="A101" s="8">
        <f>IF(E101&lt;&gt;"", ROW()-4, 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</row>
    <row r="102">
      <c r="A102" s="7">
        <f>IF(E102&lt;&gt;"", ROW()-4, "")</f>
        <v/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</row>
    <row r="103">
      <c r="A103" s="8">
        <f>IF(E103&lt;&gt;"", ROW()-4, "")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</row>
    <row r="104">
      <c r="A104" s="7">
        <f>IF(E104&lt;&gt;"", ROW()-4, "")</f>
        <v/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</row>
    <row r="105">
      <c r="A105" s="8">
        <f>IF(E105&lt;&gt;"", ROW()-4, "")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</row>
    <row r="106">
      <c r="A106" s="7">
        <f>IF(E106&lt;&gt;"", ROW()-4, "")</f>
        <v/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</row>
    <row r="107">
      <c r="A107" s="8">
        <f>IF(E107&lt;&gt;"", ROW()-4, "")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</row>
    <row r="108">
      <c r="A108" s="7">
        <f>IF(E108&lt;&gt;"", ROW()-4, "")</f>
        <v/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</row>
    <row r="109">
      <c r="A109" s="8">
        <f>IF(E109&lt;&gt;"", ROW()-4, "")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</row>
    <row r="110">
      <c r="A110" s="7">
        <f>IF(E110&lt;&gt;"", ROW()-4, "")</f>
        <v/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</row>
    <row r="111">
      <c r="A111" s="8">
        <f>IF(E111&lt;&gt;"", ROW()-4, "")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</row>
    <row r="112">
      <c r="A112" s="7">
        <f>IF(E112&lt;&gt;"", ROW()-4, "")</f>
        <v/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</row>
    <row r="113">
      <c r="A113" s="8">
        <f>IF(E113&lt;&gt;"", ROW()-4, "")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</row>
    <row r="114">
      <c r="A114" s="7">
        <f>IF(E114&lt;&gt;"", ROW()-4, "")</f>
        <v/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</row>
    <row r="115">
      <c r="A115" s="8">
        <f>IF(E115&lt;&gt;"", ROW()-4, "")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</row>
    <row r="116">
      <c r="A116" s="7">
        <f>IF(E116&lt;&gt;"", ROW()-4, "")</f>
        <v/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</row>
    <row r="117">
      <c r="A117" s="8">
        <f>IF(E117&lt;&gt;"", ROW()-4, "")</f>
        <v/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</row>
    <row r="118">
      <c r="A118" s="7">
        <f>IF(E118&lt;&gt;"", ROW()-4, "")</f>
        <v/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</row>
    <row r="119">
      <c r="A119" s="8">
        <f>IF(E119&lt;&gt;"", ROW()-4, "")</f>
        <v/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</row>
    <row r="120">
      <c r="A120" s="7">
        <f>IF(E120&lt;&gt;"", ROW()-4, "")</f>
        <v/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</row>
    <row r="121">
      <c r="A121" s="8">
        <f>IF(E121&lt;&gt;"", ROW()-4, "")</f>
        <v/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</row>
    <row r="122">
      <c r="A122" s="7">
        <f>IF(E122&lt;&gt;"", ROW()-4, "")</f>
        <v/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</row>
    <row r="123">
      <c r="A123" s="8">
        <f>IF(E123&lt;&gt;"", ROW()-4, "")</f>
        <v/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</row>
    <row r="124">
      <c r="A124" s="7">
        <f>IF(E124&lt;&gt;"", ROW()-4, "")</f>
        <v/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</row>
    <row r="125">
      <c r="A125" s="8">
        <f>IF(E125&lt;&gt;"", ROW()-4, "")</f>
        <v/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</row>
    <row r="126">
      <c r="A126" s="7">
        <f>IF(E126&lt;&gt;"", ROW()-4, "")</f>
        <v/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</row>
    <row r="127">
      <c r="A127" s="8">
        <f>IF(E127&lt;&gt;"", ROW()-4, "")</f>
        <v/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</row>
    <row r="128">
      <c r="A128" s="7">
        <f>IF(E128&lt;&gt;"", ROW()-4, "")</f>
        <v/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</row>
    <row r="129">
      <c r="A129" s="8">
        <f>IF(E129&lt;&gt;"", ROW()-4, "")</f>
        <v/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</row>
    <row r="130">
      <c r="A130" s="7">
        <f>IF(E130&lt;&gt;"", ROW()-4, "")</f>
        <v/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</row>
    <row r="131">
      <c r="A131" s="8">
        <f>IF(E131&lt;&gt;"", ROW()-4, "")</f>
        <v/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</row>
    <row r="132">
      <c r="A132" s="7">
        <f>IF(E132&lt;&gt;"", ROW()-4, "")</f>
        <v/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</row>
    <row r="133">
      <c r="A133" s="8">
        <f>IF(E133&lt;&gt;"", ROW()-4, "")</f>
        <v/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</row>
    <row r="134">
      <c r="A134" s="7">
        <f>IF(E134&lt;&gt;"", ROW()-4, "")</f>
        <v/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</row>
    <row r="135">
      <c r="A135" s="8">
        <f>IF(E135&lt;&gt;"", ROW()-4, "")</f>
        <v/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</row>
    <row r="136">
      <c r="A136" s="7">
        <f>IF(E136&lt;&gt;"", ROW()-4, "")</f>
        <v/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</row>
    <row r="137">
      <c r="A137" s="8">
        <f>IF(E137&lt;&gt;"", ROW()-4, "")</f>
        <v/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</row>
    <row r="138">
      <c r="A138" s="7">
        <f>IF(E138&lt;&gt;"", ROW()-4, "")</f>
        <v/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</row>
    <row r="139">
      <c r="A139" s="8">
        <f>IF(E139&lt;&gt;"", ROW()-4, "")</f>
        <v/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</row>
    <row r="140">
      <c r="A140" s="7">
        <f>IF(E140&lt;&gt;"", ROW()-4, "")</f>
        <v/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</row>
    <row r="141">
      <c r="A141" s="8">
        <f>IF(E141&lt;&gt;"", ROW()-4, "")</f>
        <v/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</row>
    <row r="142">
      <c r="A142" s="7">
        <f>IF(E142&lt;&gt;"", ROW()-4, "")</f>
        <v/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</row>
    <row r="143">
      <c r="A143" s="8">
        <f>IF(E143&lt;&gt;"", ROW()-4, "")</f>
        <v/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</row>
    <row r="144">
      <c r="A144" s="7">
        <f>IF(E144&lt;&gt;"", ROW()-4, "")</f>
        <v/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</row>
    <row r="145">
      <c r="A145" s="8">
        <f>IF(E145&lt;&gt;"", ROW()-4, "")</f>
        <v/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</row>
    <row r="146">
      <c r="A146" s="7">
        <f>IF(E146&lt;&gt;"", ROW()-4, "")</f>
        <v/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</row>
    <row r="147">
      <c r="A147" s="8">
        <f>IF(E147&lt;&gt;"", ROW()-4, "")</f>
        <v/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</row>
    <row r="148">
      <c r="A148" s="7">
        <f>IF(E148&lt;&gt;"", ROW()-4, "")</f>
        <v/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</row>
    <row r="149">
      <c r="A149" s="8">
        <f>IF(E149&lt;&gt;"", ROW()-4, "")</f>
        <v/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</row>
    <row r="150">
      <c r="A150" s="7">
        <f>IF(E150&lt;&gt;"", ROW()-4, "")</f>
        <v/>
      </c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</row>
    <row r="151">
      <c r="A151" s="8">
        <f>IF(E151&lt;&gt;"", ROW()-4, "")</f>
        <v/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</row>
    <row r="152">
      <c r="A152" s="7">
        <f>IF(E152&lt;&gt;"", ROW()-4, "")</f>
        <v/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</row>
    <row r="153">
      <c r="A153" s="8">
        <f>IF(E153&lt;&gt;"", ROW()-4, "")</f>
        <v/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</row>
    <row r="154">
      <c r="A154" s="7">
        <f>IF(E154&lt;&gt;"", ROW()-4, "")</f>
        <v/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</row>
    <row r="155">
      <c r="A155" s="8">
        <f>IF(E155&lt;&gt;"", ROW()-4, "")</f>
        <v/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</row>
    <row r="156">
      <c r="A156" s="7">
        <f>IF(E156&lt;&gt;"", ROW()-4, "")</f>
        <v/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</row>
    <row r="157">
      <c r="A157" s="8">
        <f>IF(E157&lt;&gt;"", ROW()-4, "")</f>
        <v/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</row>
    <row r="158">
      <c r="A158" s="7">
        <f>IF(E158&lt;&gt;"", ROW()-4, "")</f>
        <v/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</row>
    <row r="159">
      <c r="A159" s="8">
        <f>IF(E159&lt;&gt;"", ROW()-4, "")</f>
        <v/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</row>
    <row r="160">
      <c r="A160" s="7">
        <f>IF(E160&lt;&gt;"", ROW()-4, "")</f>
        <v/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</row>
    <row r="161">
      <c r="A161" s="8">
        <f>IF(E161&lt;&gt;"", ROW()-4, "")</f>
        <v/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</row>
    <row r="162">
      <c r="A162" s="7">
        <f>IF(E162&lt;&gt;"", ROW()-4, "")</f>
        <v/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</row>
    <row r="163">
      <c r="A163" s="8">
        <f>IF(E163&lt;&gt;"", ROW()-4, "")</f>
        <v/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</row>
    <row r="164">
      <c r="A164" s="7">
        <f>IF(E164&lt;&gt;"", ROW()-4, "")</f>
        <v/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</row>
    <row r="165">
      <c r="A165" s="8">
        <f>IF(E165&lt;&gt;"", ROW()-4, "")</f>
        <v/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</row>
    <row r="166">
      <c r="A166" s="7">
        <f>IF(E166&lt;&gt;"", ROW()-4, "")</f>
        <v/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</row>
    <row r="167">
      <c r="A167" s="8">
        <f>IF(E167&lt;&gt;"", ROW()-4, "")</f>
        <v/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</row>
    <row r="168">
      <c r="A168" s="7">
        <f>IF(E168&lt;&gt;"", ROW()-4, "")</f>
        <v/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</row>
    <row r="169">
      <c r="A169" s="8">
        <f>IF(E169&lt;&gt;"", ROW()-4, "")</f>
        <v/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</row>
    <row r="170">
      <c r="A170" s="7">
        <f>IF(E170&lt;&gt;"", ROW()-4, "")</f>
        <v/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</row>
    <row r="171">
      <c r="A171" s="8">
        <f>IF(E171&lt;&gt;"", ROW()-4, "")</f>
        <v/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</row>
    <row r="172">
      <c r="A172" s="7">
        <f>IF(E172&lt;&gt;"", ROW()-4, "")</f>
        <v/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</row>
    <row r="173">
      <c r="A173" s="8">
        <f>IF(E173&lt;&gt;"", ROW()-4, "")</f>
        <v/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</row>
    <row r="174">
      <c r="A174" s="7">
        <f>IF(E174&lt;&gt;"", ROW()-4, "")</f>
        <v/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</row>
    <row r="175">
      <c r="A175" s="8">
        <f>IF(E175&lt;&gt;"", ROW()-4, "")</f>
        <v/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</row>
    <row r="176">
      <c r="A176" s="7">
        <f>IF(E176&lt;&gt;"", ROW()-4, "")</f>
        <v/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</row>
    <row r="177">
      <c r="A177" s="8">
        <f>IF(E177&lt;&gt;"", ROW()-4, "")</f>
        <v/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</row>
    <row r="178">
      <c r="A178" s="7">
        <f>IF(E178&lt;&gt;"", ROW()-4, "")</f>
        <v/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</row>
    <row r="179">
      <c r="A179" s="8">
        <f>IF(E179&lt;&gt;"", ROW()-4, "")</f>
        <v/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</row>
    <row r="180">
      <c r="A180" s="7">
        <f>IF(E180&lt;&gt;"", ROW()-4, "")</f>
        <v/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</row>
    <row r="181">
      <c r="A181" s="8">
        <f>IF(E181&lt;&gt;"", ROW()-4, "")</f>
        <v/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</row>
    <row r="182">
      <c r="A182" s="7">
        <f>IF(E182&lt;&gt;"", ROW()-4, "")</f>
        <v/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</row>
    <row r="183">
      <c r="A183" s="8">
        <f>IF(E183&lt;&gt;"", ROW()-4, "")</f>
        <v/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</row>
    <row r="184">
      <c r="A184" s="7">
        <f>IF(E184&lt;&gt;"", ROW()-4, "")</f>
        <v/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</row>
    <row r="185">
      <c r="A185" s="8">
        <f>IF(E185&lt;&gt;"", ROW()-4, "")</f>
        <v/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</row>
    <row r="186">
      <c r="A186" s="7">
        <f>IF(E186&lt;&gt;"", ROW()-4, "")</f>
        <v/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</row>
    <row r="187">
      <c r="A187" s="8">
        <f>IF(E187&lt;&gt;"", ROW()-4, "")</f>
        <v/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</row>
    <row r="188">
      <c r="A188" s="7">
        <f>IF(E188&lt;&gt;"", ROW()-4, "")</f>
        <v/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</row>
    <row r="189">
      <c r="A189" s="8">
        <f>IF(E189&lt;&gt;"", ROW()-4, "")</f>
        <v/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</row>
    <row r="190">
      <c r="A190" s="7">
        <f>IF(E190&lt;&gt;"", ROW()-4, "")</f>
        <v/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</row>
    <row r="191">
      <c r="A191" s="8">
        <f>IF(E191&lt;&gt;"", ROW()-4, "")</f>
        <v/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</row>
    <row r="192">
      <c r="A192" s="7">
        <f>IF(E192&lt;&gt;"", ROW()-4, "")</f>
        <v/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</row>
    <row r="193">
      <c r="A193" s="8">
        <f>IF(E193&lt;&gt;"", ROW()-4, "")</f>
        <v/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</row>
    <row r="194">
      <c r="A194" s="7">
        <f>IF(E194&lt;&gt;"", ROW()-4, "")</f>
        <v/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</row>
    <row r="195">
      <c r="A195" s="8">
        <f>IF(E195&lt;&gt;"", ROW()-4, "")</f>
        <v/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</row>
    <row r="196">
      <c r="A196" s="7">
        <f>IF(E196&lt;&gt;"", ROW()-4, "")</f>
        <v/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</row>
    <row r="197">
      <c r="A197" s="8">
        <f>IF(E197&lt;&gt;"", ROW()-4, "")</f>
        <v/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</row>
    <row r="198">
      <c r="A198" s="7">
        <f>IF(E198&lt;&gt;"", ROW()-4, "")</f>
        <v/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</row>
    <row r="199">
      <c r="A199" s="8">
        <f>IF(E199&lt;&gt;"", ROW()-4, "")</f>
        <v/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</row>
    <row r="200">
      <c r="A200" s="7">
        <f>IF(E200&lt;&gt;"", ROW()-4, "")</f>
        <v/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</row>
    <row r="201">
      <c r="A201" s="8">
        <f>IF(E201&lt;&gt;"", ROW()-4, "")</f>
        <v/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</row>
    <row r="202">
      <c r="A202" s="7">
        <f>IF(E202&lt;&gt;"", ROW()-4, "")</f>
        <v/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</row>
    <row r="203">
      <c r="A203" s="8">
        <f>IF(E203&lt;&gt;"", ROW()-4, "")</f>
        <v/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</row>
    <row r="204">
      <c r="A204" s="7">
        <f>IF(E204&lt;&gt;"", ROW()-4, "")</f>
        <v/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</row>
    <row r="205">
      <c r="A205" s="8">
        <f>IF(E205&lt;&gt;"", ROW()-4, "")</f>
        <v/>
      </c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</row>
    <row r="206">
      <c r="A206" s="7">
        <f>IF(E206&lt;&gt;"", ROW()-4, "")</f>
        <v/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</row>
    <row r="207">
      <c r="A207" s="8">
        <f>IF(E207&lt;&gt;"", ROW()-4, "")</f>
        <v/>
      </c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</row>
    <row r="208">
      <c r="A208" s="7">
        <f>IF(E208&lt;&gt;"", ROW()-4, "")</f>
        <v/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</row>
    <row r="209">
      <c r="A209" s="8">
        <f>IF(E209&lt;&gt;"", ROW()-4, "")</f>
        <v/>
      </c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</row>
    <row r="210">
      <c r="A210" s="7">
        <f>IF(E210&lt;&gt;"", ROW()-4, "")</f>
        <v/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</row>
    <row r="211">
      <c r="A211" s="8">
        <f>IF(E211&lt;&gt;"", ROW()-4, "")</f>
        <v/>
      </c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</row>
    <row r="212">
      <c r="A212" s="7">
        <f>IF(E212&lt;&gt;"", ROW()-4, "")</f>
        <v/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</row>
    <row r="213">
      <c r="A213" s="8">
        <f>IF(E213&lt;&gt;"", ROW()-4, "")</f>
        <v/>
      </c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</row>
    <row r="214">
      <c r="A214" s="7">
        <f>IF(E214&lt;&gt;"", ROW()-4, "")</f>
        <v/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</row>
    <row r="215">
      <c r="A215" s="8">
        <f>IF(E215&lt;&gt;"", ROW()-4, "")</f>
        <v/>
      </c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</row>
    <row r="216">
      <c r="A216" s="7">
        <f>IF(E216&lt;&gt;"", ROW()-4, "")</f>
        <v/>
      </c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</row>
    <row r="217">
      <c r="A217" s="8">
        <f>IF(E217&lt;&gt;"", ROW()-4, "")</f>
        <v/>
      </c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</row>
    <row r="218">
      <c r="A218" s="7">
        <f>IF(E218&lt;&gt;"", ROW()-4, "")</f>
        <v/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</row>
    <row r="219">
      <c r="A219" s="8">
        <f>IF(E219&lt;&gt;"", ROW()-4, "")</f>
        <v/>
      </c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</row>
    <row r="220">
      <c r="A220" s="7">
        <f>IF(E220&lt;&gt;"", ROW()-4, "")</f>
        <v/>
      </c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</row>
    <row r="221">
      <c r="A221" s="8">
        <f>IF(E221&lt;&gt;"", ROW()-4, "")</f>
        <v/>
      </c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</row>
    <row r="222">
      <c r="A222" s="7">
        <f>IF(E222&lt;&gt;"", ROW()-4, "")</f>
        <v/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</row>
    <row r="223">
      <c r="A223" s="8">
        <f>IF(E223&lt;&gt;"", ROW()-4, "")</f>
        <v/>
      </c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</row>
    <row r="224">
      <c r="A224" s="7">
        <f>IF(E224&lt;&gt;"", ROW()-4, "")</f>
        <v/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</row>
    <row r="225">
      <c r="A225" s="8">
        <f>IF(E225&lt;&gt;"", ROW()-4, "")</f>
        <v/>
      </c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</row>
    <row r="226">
      <c r="A226" s="7">
        <f>IF(E226&lt;&gt;"", ROW()-4, "")</f>
        <v/>
      </c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</row>
    <row r="227">
      <c r="A227" s="8">
        <f>IF(E227&lt;&gt;"", ROW()-4, "")</f>
        <v/>
      </c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</row>
    <row r="228">
      <c r="A228" s="7">
        <f>IF(E228&lt;&gt;"", ROW()-4, "")</f>
        <v/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</row>
    <row r="229">
      <c r="A229" s="8">
        <f>IF(E229&lt;&gt;"", ROW()-4, "")</f>
        <v/>
      </c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</row>
    <row r="230">
      <c r="A230" s="7">
        <f>IF(E230&lt;&gt;"", ROW()-4, "")</f>
        <v/>
      </c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</row>
    <row r="231">
      <c r="A231" s="8">
        <f>IF(E231&lt;&gt;"", ROW()-4, "")</f>
        <v/>
      </c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</row>
    <row r="232">
      <c r="A232" s="7">
        <f>IF(E232&lt;&gt;"", ROW()-4, "")</f>
        <v/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</row>
    <row r="233">
      <c r="A233" s="8">
        <f>IF(E233&lt;&gt;"", ROW()-4, "")</f>
        <v/>
      </c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</row>
    <row r="234">
      <c r="A234" s="7">
        <f>IF(E234&lt;&gt;"", ROW()-4, "")</f>
        <v/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</row>
    <row r="235">
      <c r="A235" s="8">
        <f>IF(E235&lt;&gt;"", ROW()-4, "")</f>
        <v/>
      </c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</row>
    <row r="236">
      <c r="A236" s="7">
        <f>IF(E236&lt;&gt;"", ROW()-4, "")</f>
        <v/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</row>
    <row r="237">
      <c r="A237" s="8">
        <f>IF(E237&lt;&gt;"", ROW()-4, "")</f>
        <v/>
      </c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</row>
    <row r="238">
      <c r="A238" s="7">
        <f>IF(E238&lt;&gt;"", ROW()-4, "")</f>
        <v/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</row>
    <row r="239">
      <c r="A239" s="8">
        <f>IF(E239&lt;&gt;"", ROW()-4, "")</f>
        <v/>
      </c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</row>
    <row r="240">
      <c r="A240" s="7">
        <f>IF(E240&lt;&gt;"", ROW()-4, "")</f>
        <v/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</row>
    <row r="241">
      <c r="A241" s="8">
        <f>IF(E241&lt;&gt;"", ROW()-4, "")</f>
        <v/>
      </c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</row>
    <row r="242">
      <c r="A242" s="7">
        <f>IF(E242&lt;&gt;"", ROW()-4, "")</f>
        <v/>
      </c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</row>
    <row r="243">
      <c r="A243" s="8">
        <f>IF(E243&lt;&gt;"", ROW()-4, "")</f>
        <v/>
      </c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</row>
    <row r="244">
      <c r="A244" s="7">
        <f>IF(E244&lt;&gt;"", ROW()-4, "")</f>
        <v/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</row>
    <row r="245">
      <c r="A245" s="8">
        <f>IF(E245&lt;&gt;"", ROW()-4, "")</f>
        <v/>
      </c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</row>
    <row r="246">
      <c r="A246" s="7">
        <f>IF(E246&lt;&gt;"", ROW()-4, "")</f>
        <v/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</row>
    <row r="247">
      <c r="A247" s="8">
        <f>IF(E247&lt;&gt;"", ROW()-4, "")</f>
        <v/>
      </c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</row>
    <row r="248">
      <c r="A248" s="7">
        <f>IF(E248&lt;&gt;"", ROW()-4, "")</f>
        <v/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</row>
    <row r="249">
      <c r="A249" s="8">
        <f>IF(E249&lt;&gt;"", ROW()-4, "")</f>
        <v/>
      </c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</row>
    <row r="250">
      <c r="A250" s="7">
        <f>IF(E250&lt;&gt;"", ROW()-4, "")</f>
        <v/>
      </c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</row>
    <row r="251">
      <c r="A251" s="8">
        <f>IF(E251&lt;&gt;"", ROW()-4, "")</f>
        <v/>
      </c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</row>
    <row r="252">
      <c r="A252" s="7">
        <f>IF(E252&lt;&gt;"", ROW()-4, "")</f>
        <v/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</row>
    <row r="253">
      <c r="A253" s="8">
        <f>IF(E253&lt;&gt;"", ROW()-4, "")</f>
        <v/>
      </c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</row>
    <row r="254">
      <c r="A254" s="7">
        <f>IF(E254&lt;&gt;"", ROW()-4, "")</f>
        <v/>
      </c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</row>
    <row r="255">
      <c r="A255" s="8">
        <f>IF(E255&lt;&gt;"", ROW()-4, "")</f>
        <v/>
      </c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</row>
    <row r="256">
      <c r="A256" s="7">
        <f>IF(E256&lt;&gt;"", ROW()-4, "")</f>
        <v/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</row>
    <row r="257">
      <c r="A257" s="8">
        <f>IF(E257&lt;&gt;"", ROW()-4, "")</f>
        <v/>
      </c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</row>
    <row r="258">
      <c r="A258" s="7">
        <f>IF(E258&lt;&gt;"", ROW()-4, "")</f>
        <v/>
      </c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</row>
    <row r="259">
      <c r="A259" s="8">
        <f>IF(E259&lt;&gt;"", ROW()-4, "")</f>
        <v/>
      </c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</row>
    <row r="260">
      <c r="A260" s="7">
        <f>IF(E260&lt;&gt;"", ROW()-4, "")</f>
        <v/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</row>
    <row r="261">
      <c r="A261" s="8">
        <f>IF(E261&lt;&gt;"", ROW()-4, "")</f>
        <v/>
      </c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</row>
    <row r="262">
      <c r="A262" s="7">
        <f>IF(E262&lt;&gt;"", ROW()-4, "")</f>
        <v/>
      </c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</row>
    <row r="263">
      <c r="A263" s="8">
        <f>IF(E263&lt;&gt;"", ROW()-4, "")</f>
        <v/>
      </c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</row>
    <row r="264">
      <c r="A264" s="7">
        <f>IF(E264&lt;&gt;"", ROW()-4, "")</f>
        <v/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</row>
    <row r="265">
      <c r="A265" s="8">
        <f>IF(E265&lt;&gt;"", ROW()-4, "")</f>
        <v/>
      </c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</row>
    <row r="266">
      <c r="A266" s="7">
        <f>IF(E266&lt;&gt;"", ROW()-4, "")</f>
        <v/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</row>
    <row r="267">
      <c r="A267" s="8">
        <f>IF(E267&lt;&gt;"", ROW()-4, "")</f>
        <v/>
      </c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</row>
    <row r="268">
      <c r="A268" s="7">
        <f>IF(E268&lt;&gt;"", ROW()-4, "")</f>
        <v/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</row>
    <row r="269">
      <c r="A269" s="8">
        <f>IF(E269&lt;&gt;"", ROW()-4, "")</f>
        <v/>
      </c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</row>
    <row r="270">
      <c r="A270" s="7">
        <f>IF(E270&lt;&gt;"", ROW()-4, "")</f>
        <v/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</row>
    <row r="271">
      <c r="A271" s="8">
        <f>IF(E271&lt;&gt;"", ROW()-4, "")</f>
        <v/>
      </c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</row>
    <row r="272">
      <c r="A272" s="7">
        <f>IF(E272&lt;&gt;"", ROW()-4, "")</f>
        <v/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</row>
    <row r="273">
      <c r="A273" s="8">
        <f>IF(E273&lt;&gt;"", ROW()-4, "")</f>
        <v/>
      </c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</row>
    <row r="274">
      <c r="A274" s="7">
        <f>IF(E274&lt;&gt;"", ROW()-4, "")</f>
        <v/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</row>
    <row r="275">
      <c r="A275" s="8">
        <f>IF(E275&lt;&gt;"", ROW()-4, "")</f>
        <v/>
      </c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</row>
    <row r="276">
      <c r="A276" s="7">
        <f>IF(E276&lt;&gt;"", ROW()-4, "")</f>
        <v/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</row>
    <row r="277">
      <c r="A277" s="8">
        <f>IF(E277&lt;&gt;"", ROW()-4, "")</f>
        <v/>
      </c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</row>
    <row r="278">
      <c r="A278" s="7">
        <f>IF(E278&lt;&gt;"", ROW()-4, "")</f>
        <v/>
      </c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</row>
    <row r="279">
      <c r="A279" s="8">
        <f>IF(E279&lt;&gt;"", ROW()-4, "")</f>
        <v/>
      </c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</row>
    <row r="280">
      <c r="A280" s="7">
        <f>IF(E280&lt;&gt;"", ROW()-4, "")</f>
        <v/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</row>
    <row r="281">
      <c r="A281" s="8">
        <f>IF(E281&lt;&gt;"", ROW()-4, "")</f>
        <v/>
      </c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</row>
    <row r="282">
      <c r="A282" s="7">
        <f>IF(E282&lt;&gt;"", ROW()-4, "")</f>
        <v/>
      </c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</row>
    <row r="283">
      <c r="A283" s="8">
        <f>IF(E283&lt;&gt;"", ROW()-4, "")</f>
        <v/>
      </c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</row>
    <row r="284">
      <c r="A284" s="7">
        <f>IF(E284&lt;&gt;"", ROW()-4, "")</f>
        <v/>
      </c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</row>
    <row r="285">
      <c r="A285" s="8">
        <f>IF(E285&lt;&gt;"", ROW()-4, "")</f>
        <v/>
      </c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</row>
    <row r="286">
      <c r="A286" s="7">
        <f>IF(E286&lt;&gt;"", ROW()-4, "")</f>
        <v/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</row>
    <row r="287">
      <c r="A287" s="8">
        <f>IF(E287&lt;&gt;"", ROW()-4, "")</f>
        <v/>
      </c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</row>
    <row r="288">
      <c r="A288" s="7">
        <f>IF(E288&lt;&gt;"", ROW()-4, "")</f>
        <v/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</row>
    <row r="289">
      <c r="A289" s="8">
        <f>IF(E289&lt;&gt;"", ROW()-4, "")</f>
        <v/>
      </c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</row>
    <row r="290">
      <c r="A290" s="7">
        <f>IF(E290&lt;&gt;"", ROW()-4, "")</f>
        <v/>
      </c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</row>
    <row r="291">
      <c r="A291" s="8">
        <f>IF(E291&lt;&gt;"", ROW()-4, "")</f>
        <v/>
      </c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</row>
    <row r="292">
      <c r="A292" s="7">
        <f>IF(E292&lt;&gt;"", ROW()-4, "")</f>
        <v/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</row>
    <row r="293">
      <c r="A293" s="8">
        <f>IF(E293&lt;&gt;"", ROW()-4, "")</f>
        <v/>
      </c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</row>
    <row r="294">
      <c r="A294" s="7">
        <f>IF(E294&lt;&gt;"", ROW()-4, "")</f>
        <v/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</row>
    <row r="295">
      <c r="A295" s="8">
        <f>IF(E295&lt;&gt;"", ROW()-4, "")</f>
        <v/>
      </c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</row>
    <row r="296">
      <c r="A296" s="7">
        <f>IF(E296&lt;&gt;"", ROW()-4, "")</f>
        <v/>
      </c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</row>
    <row r="297">
      <c r="A297" s="8">
        <f>IF(E297&lt;&gt;"", ROW()-4, "")</f>
        <v/>
      </c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</row>
    <row r="298">
      <c r="A298" s="7">
        <f>IF(E298&lt;&gt;"", ROW()-4, "")</f>
        <v/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</row>
    <row r="299">
      <c r="A299" s="8">
        <f>IF(E299&lt;&gt;"", ROW()-4, "")</f>
        <v/>
      </c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</row>
    <row r="300">
      <c r="A300" s="7">
        <f>IF(E300&lt;&gt;"", ROW()-4, "")</f>
        <v/>
      </c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</row>
    <row r="301">
      <c r="A301" s="8">
        <f>IF(E301&lt;&gt;"", ROW()-4, "")</f>
        <v/>
      </c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</row>
    <row r="302">
      <c r="A302" s="7">
        <f>IF(E302&lt;&gt;"", ROW()-4, "")</f>
        <v/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</row>
    <row r="303">
      <c r="A303" s="8">
        <f>IF(E303&lt;&gt;"", ROW()-4, "")</f>
        <v/>
      </c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</row>
    <row r="304">
      <c r="A304" s="7">
        <f>IF(E304&lt;&gt;"", ROW()-4, "")</f>
        <v/>
      </c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</row>
    <row r="305">
      <c r="A305" s="8">
        <f>IF(E305&lt;&gt;"", ROW()-4, "")</f>
        <v/>
      </c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</row>
    <row r="306">
      <c r="A306" s="7">
        <f>IF(E306&lt;&gt;"", ROW()-4, "")</f>
        <v/>
      </c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</row>
    <row r="307">
      <c r="A307" s="8">
        <f>IF(E307&lt;&gt;"", ROW()-4, "")</f>
        <v/>
      </c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</row>
    <row r="308">
      <c r="A308" s="7">
        <f>IF(E308&lt;&gt;"", ROW()-4, "")</f>
        <v/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</row>
    <row r="309">
      <c r="A309" s="8">
        <f>IF(E309&lt;&gt;"", ROW()-4, "")</f>
        <v/>
      </c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</row>
    <row r="310">
      <c r="A310" s="7">
        <f>IF(E310&lt;&gt;"", ROW()-4, "")</f>
        <v/>
      </c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</row>
    <row r="311">
      <c r="A311" s="8">
        <f>IF(E311&lt;&gt;"", ROW()-4, "")</f>
        <v/>
      </c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</row>
    <row r="312">
      <c r="A312" s="7">
        <f>IF(E312&lt;&gt;"", ROW()-4, "")</f>
        <v/>
      </c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</row>
    <row r="313">
      <c r="A313" s="8">
        <f>IF(E313&lt;&gt;"", ROW()-4, "")</f>
        <v/>
      </c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</row>
    <row r="314">
      <c r="A314" s="7">
        <f>IF(E314&lt;&gt;"", ROW()-4, "")</f>
        <v/>
      </c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</row>
    <row r="315">
      <c r="A315" s="8">
        <f>IF(E315&lt;&gt;"", ROW()-4, "")</f>
        <v/>
      </c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</row>
    <row r="316">
      <c r="A316" s="7">
        <f>IF(E316&lt;&gt;"", ROW()-4, "")</f>
        <v/>
      </c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</row>
    <row r="317">
      <c r="A317" s="8">
        <f>IF(E317&lt;&gt;"", ROW()-4, "")</f>
        <v/>
      </c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</row>
    <row r="318">
      <c r="A318" s="7">
        <f>IF(E318&lt;&gt;"", ROW()-4, "")</f>
        <v/>
      </c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</row>
    <row r="319">
      <c r="A319" s="8">
        <f>IF(E319&lt;&gt;"", ROW()-4, "")</f>
        <v/>
      </c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</row>
    <row r="320">
      <c r="A320" s="7">
        <f>IF(E320&lt;&gt;"", ROW()-4, "")</f>
        <v/>
      </c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</row>
    <row r="321">
      <c r="A321" s="8">
        <f>IF(E321&lt;&gt;"", ROW()-4, "")</f>
        <v/>
      </c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</row>
    <row r="322">
      <c r="A322" s="7">
        <f>IF(E322&lt;&gt;"", ROW()-4, "")</f>
        <v/>
      </c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</row>
    <row r="323">
      <c r="A323" s="8">
        <f>IF(E323&lt;&gt;"", ROW()-4, "")</f>
        <v/>
      </c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</row>
    <row r="324">
      <c r="A324" s="7">
        <f>IF(E324&lt;&gt;"", ROW()-4, "")</f>
        <v/>
      </c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</row>
    <row r="325">
      <c r="A325" s="8">
        <f>IF(E325&lt;&gt;"", ROW()-4, "")</f>
        <v/>
      </c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</row>
    <row r="326">
      <c r="A326" s="7">
        <f>IF(E326&lt;&gt;"", ROW()-4, "")</f>
        <v/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</row>
    <row r="327">
      <c r="A327" s="8">
        <f>IF(E327&lt;&gt;"", ROW()-4, "")</f>
        <v/>
      </c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</row>
    <row r="328">
      <c r="A328" s="7">
        <f>IF(E328&lt;&gt;"", ROW()-4, "")</f>
        <v/>
      </c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</row>
    <row r="329">
      <c r="A329" s="8">
        <f>IF(E329&lt;&gt;"", ROW()-4, "")</f>
        <v/>
      </c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</row>
    <row r="330">
      <c r="A330" s="7">
        <f>IF(E330&lt;&gt;"", ROW()-4, "")</f>
        <v/>
      </c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</row>
    <row r="331">
      <c r="A331" s="8">
        <f>IF(E331&lt;&gt;"", ROW()-4, "")</f>
        <v/>
      </c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</row>
    <row r="332">
      <c r="A332" s="7">
        <f>IF(E332&lt;&gt;"", ROW()-4, "")</f>
        <v/>
      </c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</row>
    <row r="333">
      <c r="A333" s="8">
        <f>IF(E333&lt;&gt;"", ROW()-4, "")</f>
        <v/>
      </c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</row>
    <row r="334">
      <c r="A334" s="7">
        <f>IF(E334&lt;&gt;"", ROW()-4, "")</f>
        <v/>
      </c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</row>
    <row r="335">
      <c r="A335" s="8">
        <f>IF(E335&lt;&gt;"", ROW()-4, "")</f>
        <v/>
      </c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</row>
    <row r="336">
      <c r="A336" s="7">
        <f>IF(E336&lt;&gt;"", ROW()-4, "")</f>
        <v/>
      </c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</row>
    <row r="337">
      <c r="A337" s="8">
        <f>IF(E337&lt;&gt;"", ROW()-4, "")</f>
        <v/>
      </c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</row>
    <row r="338">
      <c r="A338" s="7">
        <f>IF(E338&lt;&gt;"", ROW()-4, "")</f>
        <v/>
      </c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</row>
    <row r="339">
      <c r="A339" s="8">
        <f>IF(E339&lt;&gt;"", ROW()-4, "")</f>
        <v/>
      </c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</row>
    <row r="340">
      <c r="A340" s="7">
        <f>IF(E340&lt;&gt;"", ROW()-4, "")</f>
        <v/>
      </c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</row>
    <row r="341">
      <c r="A341" s="8">
        <f>IF(E341&lt;&gt;"", ROW()-4, "")</f>
        <v/>
      </c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</row>
    <row r="342">
      <c r="A342" s="7">
        <f>IF(E342&lt;&gt;"", ROW()-4, "")</f>
        <v/>
      </c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</row>
    <row r="343">
      <c r="A343" s="8">
        <f>IF(E343&lt;&gt;"", ROW()-4, "")</f>
        <v/>
      </c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</row>
    <row r="344">
      <c r="A344" s="7">
        <f>IF(E344&lt;&gt;"", ROW()-4, "")</f>
        <v/>
      </c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</row>
    <row r="345">
      <c r="A345" s="8">
        <f>IF(E345&lt;&gt;"", ROW()-4, "")</f>
        <v/>
      </c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</row>
    <row r="346">
      <c r="A346" s="7">
        <f>IF(E346&lt;&gt;"", ROW()-4, "")</f>
        <v/>
      </c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</row>
    <row r="347">
      <c r="A347" s="8">
        <f>IF(E347&lt;&gt;"", ROW()-4, "")</f>
        <v/>
      </c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</row>
    <row r="348">
      <c r="A348" s="7">
        <f>IF(E348&lt;&gt;"", ROW()-4, "")</f>
        <v/>
      </c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</row>
    <row r="349">
      <c r="A349" s="8">
        <f>IF(E349&lt;&gt;"", ROW()-4, "")</f>
        <v/>
      </c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</row>
    <row r="350">
      <c r="A350" s="7">
        <f>IF(E350&lt;&gt;"", ROW()-4, "")</f>
        <v/>
      </c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</row>
    <row r="351">
      <c r="A351" s="8">
        <f>IF(E351&lt;&gt;"", ROW()-4, "")</f>
        <v/>
      </c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</row>
    <row r="352">
      <c r="A352" s="7">
        <f>IF(E352&lt;&gt;"", ROW()-4, "")</f>
        <v/>
      </c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</row>
    <row r="353">
      <c r="A353" s="8">
        <f>IF(E353&lt;&gt;"", ROW()-4, "")</f>
        <v/>
      </c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</row>
    <row r="354">
      <c r="A354" s="7">
        <f>IF(E354&lt;&gt;"", ROW()-4, "")</f>
        <v/>
      </c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</row>
    <row r="355">
      <c r="A355" s="8">
        <f>IF(E355&lt;&gt;"", ROW()-4, "")</f>
        <v/>
      </c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</row>
    <row r="356">
      <c r="A356" s="7">
        <f>IF(E356&lt;&gt;"", ROW()-4, "")</f>
        <v/>
      </c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</row>
    <row r="357">
      <c r="A357" s="8">
        <f>IF(E357&lt;&gt;"", ROW()-4, "")</f>
        <v/>
      </c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</row>
    <row r="358">
      <c r="A358" s="7">
        <f>IF(E358&lt;&gt;"", ROW()-4, "")</f>
        <v/>
      </c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</row>
    <row r="359">
      <c r="A359" s="8">
        <f>IF(E359&lt;&gt;"", ROW()-4, "")</f>
        <v/>
      </c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</row>
    <row r="360">
      <c r="A360" s="7">
        <f>IF(E360&lt;&gt;"", ROW()-4, "")</f>
        <v/>
      </c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</row>
    <row r="361">
      <c r="A361" s="8">
        <f>IF(E361&lt;&gt;"", ROW()-4, "")</f>
        <v/>
      </c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</row>
    <row r="362">
      <c r="A362" s="7">
        <f>IF(E362&lt;&gt;"", ROW()-4, "")</f>
        <v/>
      </c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</row>
    <row r="363">
      <c r="A363" s="8">
        <f>IF(E363&lt;&gt;"", ROW()-4, "")</f>
        <v/>
      </c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</row>
    <row r="364">
      <c r="A364" s="7">
        <f>IF(E364&lt;&gt;"", ROW()-4, "")</f>
        <v/>
      </c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</row>
    <row r="365">
      <c r="A365" s="8">
        <f>IF(E365&lt;&gt;"", ROW()-4, "")</f>
        <v/>
      </c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</row>
    <row r="366">
      <c r="A366" s="7">
        <f>IF(E366&lt;&gt;"", ROW()-4, "")</f>
        <v/>
      </c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</row>
    <row r="367">
      <c r="A367" s="8">
        <f>IF(E367&lt;&gt;"", ROW()-4, "")</f>
        <v/>
      </c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</row>
    <row r="368">
      <c r="A368" s="7">
        <f>IF(E368&lt;&gt;"", ROW()-4, "")</f>
        <v/>
      </c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</row>
    <row r="369">
      <c r="A369" s="8">
        <f>IF(E369&lt;&gt;"", ROW()-4, "")</f>
        <v/>
      </c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</row>
    <row r="370">
      <c r="A370" s="7">
        <f>IF(E370&lt;&gt;"", ROW()-4, "")</f>
        <v/>
      </c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</row>
    <row r="371">
      <c r="A371" s="8">
        <f>IF(E371&lt;&gt;"", ROW()-4, "")</f>
        <v/>
      </c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</row>
    <row r="372">
      <c r="A372" s="7">
        <f>IF(E372&lt;&gt;"", ROW()-4, "")</f>
        <v/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</row>
    <row r="373">
      <c r="A373" s="8">
        <f>IF(E373&lt;&gt;"", ROW()-4, "")</f>
        <v/>
      </c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</row>
    <row r="374">
      <c r="A374" s="7">
        <f>IF(E374&lt;&gt;"", ROW()-4, "")</f>
        <v/>
      </c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</row>
    <row r="375">
      <c r="A375" s="8">
        <f>IF(E375&lt;&gt;"", ROW()-4, "")</f>
        <v/>
      </c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</row>
    <row r="376">
      <c r="A376" s="7">
        <f>IF(E376&lt;&gt;"", ROW()-4, "")</f>
        <v/>
      </c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</row>
    <row r="377">
      <c r="A377" s="8">
        <f>IF(E377&lt;&gt;"", ROW()-4, "")</f>
        <v/>
      </c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</row>
    <row r="378">
      <c r="A378" s="7">
        <f>IF(E378&lt;&gt;"", ROW()-4, "")</f>
        <v/>
      </c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</row>
    <row r="379">
      <c r="A379" s="8">
        <f>IF(E379&lt;&gt;"", ROW()-4, "")</f>
        <v/>
      </c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</row>
    <row r="380">
      <c r="A380" s="7">
        <f>IF(E380&lt;&gt;"", ROW()-4, "")</f>
        <v/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</row>
    <row r="381">
      <c r="A381" s="8">
        <f>IF(E381&lt;&gt;"", ROW()-4, "")</f>
        <v/>
      </c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</row>
    <row r="382">
      <c r="A382" s="7">
        <f>IF(E382&lt;&gt;"", ROW()-4, "")</f>
        <v/>
      </c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</row>
    <row r="383">
      <c r="A383" s="8">
        <f>IF(E383&lt;&gt;"", ROW()-4, "")</f>
        <v/>
      </c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</row>
    <row r="384">
      <c r="A384" s="7">
        <f>IF(E384&lt;&gt;"", ROW()-4, "")</f>
        <v/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</row>
    <row r="385">
      <c r="A385" s="8">
        <f>IF(E385&lt;&gt;"", ROW()-4, "")</f>
        <v/>
      </c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</row>
    <row r="386">
      <c r="A386" s="7">
        <f>IF(E386&lt;&gt;"", ROW()-4, "")</f>
        <v/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</row>
    <row r="387">
      <c r="A387" s="8">
        <f>IF(E387&lt;&gt;"", ROW()-4, "")</f>
        <v/>
      </c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</row>
    <row r="388">
      <c r="A388" s="7">
        <f>IF(E388&lt;&gt;"", ROW()-4, "")</f>
        <v/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</row>
    <row r="389">
      <c r="A389" s="8">
        <f>IF(E389&lt;&gt;"", ROW()-4, "")</f>
        <v/>
      </c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</row>
    <row r="390">
      <c r="A390" s="7">
        <f>IF(E390&lt;&gt;"", ROW()-4, "")</f>
        <v/>
      </c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</row>
    <row r="391">
      <c r="A391" s="8">
        <f>IF(E391&lt;&gt;"", ROW()-4, "")</f>
        <v/>
      </c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</row>
    <row r="392">
      <c r="A392" s="7">
        <f>IF(E392&lt;&gt;"", ROW()-4, "")</f>
        <v/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</row>
    <row r="393">
      <c r="A393" s="8">
        <f>IF(E393&lt;&gt;"", ROW()-4, "")</f>
        <v/>
      </c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</row>
    <row r="394">
      <c r="A394" s="7">
        <f>IF(E394&lt;&gt;"", ROW()-4, "")</f>
        <v/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</row>
    <row r="395">
      <c r="A395" s="8">
        <f>IF(E395&lt;&gt;"", ROW()-4, "")</f>
        <v/>
      </c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</row>
    <row r="396">
      <c r="A396" s="7">
        <f>IF(E396&lt;&gt;"", ROW()-4, "")</f>
        <v/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</row>
    <row r="397">
      <c r="A397" s="8">
        <f>IF(E397&lt;&gt;"", ROW()-4, "")</f>
        <v/>
      </c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</row>
    <row r="398">
      <c r="A398" s="7">
        <f>IF(E398&lt;&gt;"", ROW()-4, "")</f>
        <v/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</row>
    <row r="399">
      <c r="A399" s="8">
        <f>IF(E399&lt;&gt;"", ROW()-4, "")</f>
        <v/>
      </c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</row>
    <row r="400">
      <c r="A400" s="7">
        <f>IF(E400&lt;&gt;"", ROW()-4, "")</f>
        <v/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</row>
    <row r="401">
      <c r="A401" s="8">
        <f>IF(E401&lt;&gt;"", ROW()-4, "")</f>
        <v/>
      </c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</row>
    <row r="402">
      <c r="A402" s="7">
        <f>IF(E402&lt;&gt;"", ROW()-4, "")</f>
        <v/>
      </c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</row>
    <row r="403">
      <c r="A403" s="8">
        <f>IF(E403&lt;&gt;"", ROW()-4, "")</f>
        <v/>
      </c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</row>
    <row r="404">
      <c r="A404" s="7">
        <f>IF(E404&lt;&gt;"", ROW()-4, "")</f>
        <v/>
      </c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</row>
    <row r="405">
      <c r="A405" s="8">
        <f>IF(E405&lt;&gt;"", ROW()-4, "")</f>
        <v/>
      </c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</row>
    <row r="406">
      <c r="A406" s="7">
        <f>IF(E406&lt;&gt;"", ROW()-4, "")</f>
        <v/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</row>
    <row r="407">
      <c r="A407" s="8">
        <f>IF(E407&lt;&gt;"", ROW()-4, "")</f>
        <v/>
      </c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</row>
    <row r="408">
      <c r="A408" s="7">
        <f>IF(E408&lt;&gt;"", ROW()-4, "")</f>
        <v/>
      </c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</row>
    <row r="409">
      <c r="A409" s="8">
        <f>IF(E409&lt;&gt;"", ROW()-4, "")</f>
        <v/>
      </c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</row>
    <row r="410">
      <c r="A410" s="7">
        <f>IF(E410&lt;&gt;"", ROW()-4, "")</f>
        <v/>
      </c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</row>
    <row r="411">
      <c r="A411" s="8">
        <f>IF(E411&lt;&gt;"", ROW()-4, "")</f>
        <v/>
      </c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</row>
    <row r="412">
      <c r="A412" s="7">
        <f>IF(E412&lt;&gt;"", ROW()-4, "")</f>
        <v/>
      </c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</row>
    <row r="413">
      <c r="A413" s="8">
        <f>IF(E413&lt;&gt;"", ROW()-4, "")</f>
        <v/>
      </c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</row>
    <row r="414">
      <c r="A414" s="7">
        <f>IF(E414&lt;&gt;"", ROW()-4, "")</f>
        <v/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</row>
    <row r="415">
      <c r="A415" s="8">
        <f>IF(E415&lt;&gt;"", ROW()-4, "")</f>
        <v/>
      </c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</row>
    <row r="416">
      <c r="A416" s="7">
        <f>IF(E416&lt;&gt;"", ROW()-4, "")</f>
        <v/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</row>
    <row r="417">
      <c r="A417" s="8">
        <f>IF(E417&lt;&gt;"", ROW()-4, "")</f>
        <v/>
      </c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</row>
    <row r="418">
      <c r="A418" s="7">
        <f>IF(E418&lt;&gt;"", ROW()-4, "")</f>
        <v/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</row>
    <row r="419">
      <c r="A419" s="8">
        <f>IF(E419&lt;&gt;"", ROW()-4, "")</f>
        <v/>
      </c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</row>
    <row r="420">
      <c r="A420" s="7">
        <f>IF(E420&lt;&gt;"", ROW()-4, "")</f>
        <v/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</row>
    <row r="421">
      <c r="A421" s="8">
        <f>IF(E421&lt;&gt;"", ROW()-4, "")</f>
        <v/>
      </c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</row>
    <row r="422">
      <c r="A422" s="7">
        <f>IF(E422&lt;&gt;"", ROW()-4, "")</f>
        <v/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</row>
    <row r="423">
      <c r="A423" s="8">
        <f>IF(E423&lt;&gt;"", ROW()-4, "")</f>
        <v/>
      </c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</row>
    <row r="424">
      <c r="A424" s="7">
        <f>IF(E424&lt;&gt;"", ROW()-4, "")</f>
        <v/>
      </c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</row>
    <row r="425">
      <c r="A425" s="8">
        <f>IF(E425&lt;&gt;"", ROW()-4, "")</f>
        <v/>
      </c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</row>
    <row r="426">
      <c r="A426" s="7">
        <f>IF(E426&lt;&gt;"", ROW()-4, "")</f>
        <v/>
      </c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</row>
    <row r="427">
      <c r="A427" s="8">
        <f>IF(E427&lt;&gt;"", ROW()-4, "")</f>
        <v/>
      </c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</row>
    <row r="428">
      <c r="A428" s="7">
        <f>IF(E428&lt;&gt;"", ROW()-4, "")</f>
        <v/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</row>
    <row r="429">
      <c r="A429" s="8">
        <f>IF(E429&lt;&gt;"", ROW()-4, "")</f>
        <v/>
      </c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</row>
    <row r="430">
      <c r="A430" s="7">
        <f>IF(E430&lt;&gt;"", ROW()-4, "")</f>
        <v/>
      </c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</row>
    <row r="431">
      <c r="A431" s="8">
        <f>IF(E431&lt;&gt;"", ROW()-4, "")</f>
        <v/>
      </c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</row>
    <row r="432">
      <c r="A432" s="7">
        <f>IF(E432&lt;&gt;"", ROW()-4, "")</f>
        <v/>
      </c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</row>
    <row r="433">
      <c r="A433" s="8">
        <f>IF(E433&lt;&gt;"", ROW()-4, "")</f>
        <v/>
      </c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</row>
    <row r="434">
      <c r="A434" s="7">
        <f>IF(E434&lt;&gt;"", ROW()-4, "")</f>
        <v/>
      </c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</row>
    <row r="435">
      <c r="A435" s="8">
        <f>IF(E435&lt;&gt;"", ROW()-4, "")</f>
        <v/>
      </c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</row>
    <row r="436">
      <c r="A436" s="7">
        <f>IF(E436&lt;&gt;"", ROW()-4, "")</f>
        <v/>
      </c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</row>
    <row r="437">
      <c r="A437" s="8">
        <f>IF(E437&lt;&gt;"", ROW()-4, "")</f>
        <v/>
      </c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</row>
    <row r="438">
      <c r="A438" s="7">
        <f>IF(E438&lt;&gt;"", ROW()-4, "")</f>
        <v/>
      </c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</row>
    <row r="439">
      <c r="A439" s="8">
        <f>IF(E439&lt;&gt;"", ROW()-4, "")</f>
        <v/>
      </c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</row>
    <row r="440">
      <c r="A440" s="7">
        <f>IF(E440&lt;&gt;"", ROW()-4, "")</f>
        <v/>
      </c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</row>
    <row r="441">
      <c r="A441" s="8">
        <f>IF(E441&lt;&gt;"", ROW()-4, "")</f>
        <v/>
      </c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</row>
    <row r="442">
      <c r="A442" s="7">
        <f>IF(E442&lt;&gt;"", ROW()-4, "")</f>
        <v/>
      </c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</row>
    <row r="443">
      <c r="A443" s="8">
        <f>IF(E443&lt;&gt;"", ROW()-4, "")</f>
        <v/>
      </c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</row>
    <row r="444">
      <c r="A444" s="7">
        <f>IF(E444&lt;&gt;"", ROW()-4, "")</f>
        <v/>
      </c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</row>
    <row r="445">
      <c r="A445" s="8">
        <f>IF(E445&lt;&gt;"", ROW()-4, "")</f>
        <v/>
      </c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</row>
    <row r="446">
      <c r="A446" s="7">
        <f>IF(E446&lt;&gt;"", ROW()-4, "")</f>
        <v/>
      </c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</row>
    <row r="447">
      <c r="A447" s="8">
        <f>IF(E447&lt;&gt;"", ROW()-4, "")</f>
        <v/>
      </c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</row>
    <row r="448">
      <c r="A448" s="7">
        <f>IF(E448&lt;&gt;"", ROW()-4, "")</f>
        <v/>
      </c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</row>
    <row r="449">
      <c r="A449" s="8">
        <f>IF(E449&lt;&gt;"", ROW()-4, "")</f>
        <v/>
      </c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</row>
    <row r="450">
      <c r="A450" s="7">
        <f>IF(E450&lt;&gt;"", ROW()-4, "")</f>
        <v/>
      </c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</row>
    <row r="451">
      <c r="A451" s="8">
        <f>IF(E451&lt;&gt;"", ROW()-4, "")</f>
        <v/>
      </c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</row>
    <row r="452">
      <c r="A452" s="7">
        <f>IF(E452&lt;&gt;"", ROW()-4, "")</f>
        <v/>
      </c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</row>
    <row r="453">
      <c r="A453" s="8">
        <f>IF(E453&lt;&gt;"", ROW()-4, "")</f>
        <v/>
      </c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</row>
    <row r="454">
      <c r="A454" s="7">
        <f>IF(E454&lt;&gt;"", ROW()-4, "")</f>
        <v/>
      </c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</row>
    <row r="455">
      <c r="A455" s="8">
        <f>IF(E455&lt;&gt;"", ROW()-4, "")</f>
        <v/>
      </c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</row>
    <row r="456">
      <c r="A456" s="7">
        <f>IF(E456&lt;&gt;"", ROW()-4, "")</f>
        <v/>
      </c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</row>
    <row r="457">
      <c r="A457" s="8">
        <f>IF(E457&lt;&gt;"", ROW()-4, "")</f>
        <v/>
      </c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</row>
    <row r="458">
      <c r="A458" s="7">
        <f>IF(E458&lt;&gt;"", ROW()-4, "")</f>
        <v/>
      </c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</row>
    <row r="459">
      <c r="A459" s="8">
        <f>IF(E459&lt;&gt;"", ROW()-4, "")</f>
        <v/>
      </c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</row>
    <row r="460">
      <c r="A460" s="7">
        <f>IF(E460&lt;&gt;"", ROW()-4, "")</f>
        <v/>
      </c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</row>
    <row r="461">
      <c r="A461" s="8">
        <f>IF(E461&lt;&gt;"", ROW()-4, "")</f>
        <v/>
      </c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</row>
    <row r="462">
      <c r="A462" s="7">
        <f>IF(E462&lt;&gt;"", ROW()-4, "")</f>
        <v/>
      </c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</row>
    <row r="463">
      <c r="A463" s="8">
        <f>IF(E463&lt;&gt;"", ROW()-4, "")</f>
        <v/>
      </c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</row>
    <row r="464">
      <c r="A464" s="7">
        <f>IF(E464&lt;&gt;"", ROW()-4, "")</f>
        <v/>
      </c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</row>
    <row r="465">
      <c r="A465" s="8">
        <f>IF(E465&lt;&gt;"", ROW()-4, "")</f>
        <v/>
      </c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</row>
    <row r="466">
      <c r="A466" s="7">
        <f>IF(E466&lt;&gt;"", ROW()-4, "")</f>
        <v/>
      </c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</row>
    <row r="467">
      <c r="A467" s="8">
        <f>IF(E467&lt;&gt;"", ROW()-4, "")</f>
        <v/>
      </c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</row>
    <row r="468">
      <c r="A468" s="7">
        <f>IF(E468&lt;&gt;"", ROW()-4, "")</f>
        <v/>
      </c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</row>
    <row r="469">
      <c r="A469" s="8">
        <f>IF(E469&lt;&gt;"", ROW()-4, "")</f>
        <v/>
      </c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</row>
    <row r="470">
      <c r="A470" s="7">
        <f>IF(E470&lt;&gt;"", ROW()-4, "")</f>
        <v/>
      </c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</row>
    <row r="471">
      <c r="A471" s="8">
        <f>IF(E471&lt;&gt;"", ROW()-4, "")</f>
        <v/>
      </c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</row>
    <row r="472">
      <c r="A472" s="7">
        <f>IF(E472&lt;&gt;"", ROW()-4, "")</f>
        <v/>
      </c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</row>
    <row r="473">
      <c r="A473" s="8">
        <f>IF(E473&lt;&gt;"", ROW()-4, "")</f>
        <v/>
      </c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</row>
    <row r="474">
      <c r="A474" s="7">
        <f>IF(E474&lt;&gt;"", ROW()-4, "")</f>
        <v/>
      </c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</row>
    <row r="475">
      <c r="A475" s="8">
        <f>IF(E475&lt;&gt;"", ROW()-4, "")</f>
        <v/>
      </c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</row>
    <row r="476">
      <c r="A476" s="7">
        <f>IF(E476&lt;&gt;"", ROW()-4, "")</f>
        <v/>
      </c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</row>
    <row r="477">
      <c r="A477" s="8">
        <f>IF(E477&lt;&gt;"", ROW()-4, "")</f>
        <v/>
      </c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</row>
    <row r="478">
      <c r="A478" s="7">
        <f>IF(E478&lt;&gt;"", ROW()-4, "")</f>
        <v/>
      </c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</row>
    <row r="479">
      <c r="A479" s="8">
        <f>IF(E479&lt;&gt;"", ROW()-4, "")</f>
        <v/>
      </c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</row>
    <row r="480">
      <c r="A480" s="7">
        <f>IF(E480&lt;&gt;"", ROW()-4, "")</f>
        <v/>
      </c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</row>
    <row r="481">
      <c r="A481" s="8">
        <f>IF(E481&lt;&gt;"", ROW()-4, "")</f>
        <v/>
      </c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</row>
    <row r="482">
      <c r="A482" s="7">
        <f>IF(E482&lt;&gt;"", ROW()-4, "")</f>
        <v/>
      </c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</row>
    <row r="483">
      <c r="A483" s="8">
        <f>IF(E483&lt;&gt;"", ROW()-4, "")</f>
        <v/>
      </c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</row>
    <row r="484">
      <c r="A484" s="7">
        <f>IF(E484&lt;&gt;"", ROW()-4, "")</f>
        <v/>
      </c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</row>
    <row r="485">
      <c r="A485" s="8">
        <f>IF(E485&lt;&gt;"", ROW()-4, "")</f>
        <v/>
      </c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</row>
    <row r="486">
      <c r="A486" s="7">
        <f>IF(E486&lt;&gt;"", ROW()-4, "")</f>
        <v/>
      </c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</row>
    <row r="487">
      <c r="A487" s="8">
        <f>IF(E487&lt;&gt;"", ROW()-4, "")</f>
        <v/>
      </c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</row>
    <row r="488">
      <c r="A488" s="7">
        <f>IF(E488&lt;&gt;"", ROW()-4, "")</f>
        <v/>
      </c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</row>
    <row r="489">
      <c r="A489" s="8">
        <f>IF(E489&lt;&gt;"", ROW()-4, "")</f>
        <v/>
      </c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</row>
    <row r="490">
      <c r="A490" s="7">
        <f>IF(E490&lt;&gt;"", ROW()-4, "")</f>
        <v/>
      </c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</row>
    <row r="491">
      <c r="A491" s="8">
        <f>IF(E491&lt;&gt;"", ROW()-4, "")</f>
        <v/>
      </c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</row>
    <row r="492">
      <c r="A492" s="7">
        <f>IF(E492&lt;&gt;"", ROW()-4, "")</f>
        <v/>
      </c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</row>
    <row r="493">
      <c r="A493" s="8">
        <f>IF(E493&lt;&gt;"", ROW()-4, "")</f>
        <v/>
      </c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</row>
    <row r="494">
      <c r="A494" s="7">
        <f>IF(E494&lt;&gt;"", ROW()-4, "")</f>
        <v/>
      </c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</row>
    <row r="495">
      <c r="A495" s="8">
        <f>IF(E495&lt;&gt;"", ROW()-4, "")</f>
        <v/>
      </c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</row>
    <row r="496">
      <c r="A496" s="7">
        <f>IF(E496&lt;&gt;"", ROW()-4, "")</f>
        <v/>
      </c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</row>
    <row r="497">
      <c r="A497" s="8">
        <f>IF(E497&lt;&gt;"", ROW()-4, "")</f>
        <v/>
      </c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</row>
    <row r="498">
      <c r="A498" s="7">
        <f>IF(E498&lt;&gt;"", ROW()-4, "")</f>
        <v/>
      </c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</row>
    <row r="499">
      <c r="A499" s="8">
        <f>IF(E499&lt;&gt;"", ROW()-4, "")</f>
        <v/>
      </c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</row>
    <row r="500">
      <c r="A500" s="7">
        <f>IF(E500&lt;&gt;"", ROW()-4, "")</f>
        <v/>
      </c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</row>
    <row r="501">
      <c r="A501" s="8">
        <f>IF(E501&lt;&gt;"", ROW()-4, "")</f>
        <v/>
      </c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</row>
    <row r="502">
      <c r="A502" s="7">
        <f>IF(E502&lt;&gt;"", ROW()-4, "")</f>
        <v/>
      </c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</row>
    <row r="503">
      <c r="A503" s="8">
        <f>IF(E503&lt;&gt;"", ROW()-4, "")</f>
        <v/>
      </c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</row>
    <row r="504">
      <c r="A504" s="7">
        <f>IF(E504&lt;&gt;"", ROW()-4, "")</f>
        <v/>
      </c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</row>
  </sheetData>
  <mergeCells count="2">
    <mergeCell ref="A2:R2"/>
    <mergeCell ref="A1:R1"/>
  </mergeCells>
  <conditionalFormatting sqref="N5:N504">
    <cfRule type="cellIs" priority="1" operator="equal" dxfId="3">
      <formula>"Nou"</formula>
    </cfRule>
    <cfRule type="cellIs" priority="2" operator="equal" dxfId="2">
      <formula>"Contactat"</formula>
    </cfRule>
    <cfRule type="cellIs" priority="3" operator="equal" dxfId="4">
      <formula>"Interesat"</formula>
    </cfRule>
    <cfRule type="cellIs" priority="4" operator="equal" dxfId="5">
      <formula>"Ofertă trimisă"</formula>
    </cfRule>
    <cfRule type="cellIs" priority="5" operator="equal" dxfId="6">
      <formula>"Vizită programată"</formula>
    </cfRule>
    <cfRule type="cellIs" priority="6" operator="equal" dxfId="0">
      <formula>"Vândut"</formula>
    </cfRule>
    <cfRule type="cellIs" priority="7" operator="equal" dxfId="1">
      <formula>"Pierdut"</formula>
    </cfRule>
    <cfRule type="cellIs" priority="8" operator="equal" dxfId="7">
      <formula>"Nu răspunde"</formula>
    </cfRule>
  </conditionalFormatting>
  <conditionalFormatting sqref="Q5:Q504">
    <cfRule type="cellIs" priority="9" operator="equal" dxfId="0">
      <formula>"Calificat"</formula>
    </cfRule>
    <cfRule type="cellIs" priority="10" operator="equal" dxfId="1">
      <formula>"Necalificat"</formula>
    </cfRule>
    <cfRule type="cellIs" priority="11" operator="equal" dxfId="2">
      <formula>"De evaluat"</formula>
    </cfRule>
  </conditionalFormatting>
  <dataValidations count="6">
    <dataValidation sqref="C5:C504" showDropDown="0" showInputMessage="0" showErrorMessage="0" allowBlank="1" type="list">
      <formula1>"Meta Ads,Google Ads,Referral,Telefon direct,Grup Facebook,Marketplace,Vizită spontană,AFIR,Autoline,Altă sursă"</formula1>
    </dataValidation>
    <dataValidation sqref="D5:D504" showDropDown="0" showInputMessage="0" showErrorMessage="0" allowBlank="1" type="list">
      <formula1>"C1 — Mamut pe Stoc,C2 — AFIR DR-14,C3 — Retargeting,Postare organică,Grup FB,Marketplace,Search — brand,Search — generic,Search — AFIR,Local Search,Referral client,Apel direct,Vizită DN79,Altă campanie"</formula1>
    </dataValidation>
    <dataValidation sqref="N5:N504" showDropDown="0" showInputMessage="0" showErrorMessage="0" allowBlank="1" error="Selectează un status valid" type="list">
      <formula1>"Nou,Contactat,Interesat,Ofertă trimisă,Vizită programată,Vândut,Pierdut,Nu răspunde"</formula1>
    </dataValidation>
    <dataValidation sqref="M5:M504" showDropDown="0" showInputMessage="0" showErrorMessage="0" allowBlank="1" type="list">
      <formula1>"Da,Nu,Nu știu"</formula1>
    </dataValidation>
    <dataValidation sqref="Q5:Q504" showDropDown="0" showInputMessage="0" showErrorMessage="0" allowBlank="1" type="list">
      <formula1>"Calificat,Necalificat,De evaluat"</formula1>
    </dataValidation>
    <dataValidation sqref="H5:H504" showDropDown="0" showInputMessage="0" showErrorMessage="0" allowBlank="1" type="list">
      <formula1>"Bihor,Arad,Satu Mare,Timiș,Cluj,Sălaj,Maramureș,Alt județ"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96F3"/>
    <outlinePr summaryBelow="1" summaryRight="1"/>
    <pageSetUpPr/>
  </sheetPr>
  <dimension ref="A1:Q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4" customWidth="1" min="4" max="4"/>
    <col width="10" customWidth="1" min="5" max="5"/>
    <col width="22" customWidth="1" min="6" max="6"/>
    <col width="16" customWidth="1" min="7" max="7"/>
    <col width="24" customWidth="1" min="8" max="8"/>
    <col width="18" customWidth="1" min="9" max="9"/>
    <col width="1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22" customWidth="1" min="16" max="16"/>
    <col width="30" customWidth="1" min="17" max="17"/>
  </cols>
  <sheetData>
    <row r="1" ht="35" customHeight="1">
      <c r="A1" s="1" t="inlineStr">
        <is>
          <t>AGRO SALSO — PIPELINE AFIR (DR-14 și alte sesiuni)</t>
        </is>
      </c>
    </row>
    <row r="2">
      <c r="A2" s="14" t="inlineStr">
        <is>
          <t>Fiecare lead AFIR = potențială vânzare de ZECI DE MII de RON. Prioritate MAXIMĂ.</t>
        </is>
      </c>
    </row>
    <row r="3">
      <c r="A3" s="3" t="inlineStr">
        <is>
          <t>Total proiecte AFIR:</t>
        </is>
      </c>
      <c r="B3" s="15">
        <f>COUNTA(B5:B104)</f>
        <v/>
      </c>
      <c r="D3" s="3" t="inlineStr">
        <is>
          <t>Valoare totală pipeline:</t>
        </is>
      </c>
      <c r="E3" s="16">
        <f>SUM(J5:J104)</f>
        <v/>
      </c>
      <c r="G3" s="3" t="inlineStr">
        <is>
          <t>Oferte trimise:</t>
        </is>
      </c>
      <c r="H3" s="4">
        <f>COUNTIF(K5:K104,"Da")</f>
        <v/>
      </c>
      <c r="I3" s="3" t="inlineStr">
        <is>
          <t>Aprobate:</t>
        </is>
      </c>
      <c r="J3" s="4">
        <f>COUNTIF(O5:O104,"Aprobat")</f>
        <v/>
      </c>
    </row>
    <row r="4" ht="45" customHeight="1">
      <c r="A4" s="5" t="inlineStr">
        <is>
          <t>Nr.</t>
        </is>
      </c>
      <c r="B4" s="5" t="inlineStr">
        <is>
          <t>Fermier</t>
        </is>
      </c>
      <c r="C4" s="5" t="inlineStr">
        <is>
          <t>Telefon</t>
        </is>
      </c>
      <c r="D4" s="5" t="inlineStr">
        <is>
          <t>Localitate</t>
        </is>
      </c>
      <c r="E4" s="5" t="inlineStr">
        <is>
          <t>Suprafață
(ha)</t>
        </is>
      </c>
      <c r="F4" s="5" t="inlineStr">
        <is>
          <t>Consultant
AFIR</t>
        </is>
      </c>
      <c r="G4" s="5" t="inlineStr">
        <is>
          <t>Tel. consultant</t>
        </is>
      </c>
      <c r="H4" s="5" t="inlineStr">
        <is>
          <t>Utilaje solicitate
în proiect</t>
        </is>
      </c>
      <c r="I4" s="5" t="inlineStr">
        <is>
          <t>Model(e)
Dexwal</t>
        </is>
      </c>
      <c r="J4" s="5" t="inlineStr">
        <is>
          <t>Valoare estimată
(RON)</t>
        </is>
      </c>
      <c r="K4" s="5" t="inlineStr">
        <is>
          <t>Ofertă conformă
trimisă</t>
        </is>
      </c>
      <c r="L4" s="5" t="inlineStr">
        <is>
          <t>Data
ofertă</t>
        </is>
      </c>
      <c r="M4" s="5" t="inlineStr">
        <is>
          <t>Factură
proformă</t>
        </is>
      </c>
      <c r="N4" s="5" t="inlineStr">
        <is>
          <t>Fișă tehnică
trimisă</t>
        </is>
      </c>
      <c r="O4" s="17" t="inlineStr">
        <is>
          <t>Status
proiect AFIR</t>
        </is>
      </c>
      <c r="P4" s="5" t="inlineStr">
        <is>
          <t>Următorul
pas</t>
        </is>
      </c>
      <c r="Q4" s="5" t="inlineStr">
        <is>
          <t>Note</t>
        </is>
      </c>
    </row>
    <row r="5">
      <c r="A5" s="8">
        <f>IF(B5&lt;&gt;"", ROW()-4,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</row>
    <row r="6">
      <c r="A6" s="7">
        <f>IF(B6&lt;&gt;"", ROW()-4, "")</f>
        <v/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8">
        <f>IF(B7&lt;&gt;"", ROW()-4,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7">
        <f>IF(B8&lt;&gt;"", ROW()-4, "")</f>
        <v/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8">
        <f>IF(B9&lt;&gt;"", ROW()-4,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</row>
    <row r="10">
      <c r="A10" s="7">
        <f>IF(B10&lt;&gt;"", ROW()-4, "")</f>
        <v/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8">
        <f>IF(B11&lt;&gt;"", ROW()-4,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7">
        <f>IF(B12&lt;&gt;"", ROW()-4, "")</f>
        <v/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8">
        <f>IF(B13&lt;&gt;"", ROW()-4,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7">
        <f>IF(B14&lt;&gt;"", ROW()-4, "")</f>
        <v/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8">
        <f>IF(B15&lt;&gt;"", ROW()-4,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7">
        <f>IF(B16&lt;&gt;"", ROW()-4, "")</f>
        <v/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8">
        <f>IF(B17&lt;&gt;"", ROW()-4,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7">
        <f>IF(B18&lt;&gt;"", ROW()-4, "")</f>
        <v/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8">
        <f>IF(B19&lt;&gt;"", ROW()-4,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7">
        <f>IF(B20&lt;&gt;"", ROW()-4, "")</f>
        <v/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8">
        <f>IF(B21&lt;&gt;"", ROW()-4,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7">
        <f>IF(B22&lt;&gt;"", ROW()-4, "")</f>
        <v/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8">
        <f>IF(B23&lt;&gt;"", ROW()-4,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7">
        <f>IF(B24&lt;&gt;"", ROW()-4, "")</f>
        <v/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8">
        <f>IF(B25&lt;&gt;"", ROW()-4,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  <row r="26">
      <c r="A26" s="7">
        <f>IF(B26&lt;&gt;"", ROW()-4, "")</f>
        <v/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8">
        <f>IF(B27&lt;&gt;"", ROW()-4,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</row>
    <row r="28">
      <c r="A28" s="7">
        <f>IF(B28&lt;&gt;"", ROW()-4, "")</f>
        <v/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8">
        <f>IF(B29&lt;&gt;"", ROW()-4,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</row>
    <row r="30">
      <c r="A30" s="7">
        <f>IF(B30&lt;&gt;"", ROW()-4, "")</f>
        <v/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>
      <c r="A31" s="8">
        <f>IF(B31&lt;&gt;"", ROW()-4,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</row>
    <row r="32">
      <c r="A32" s="7">
        <f>IF(B32&lt;&gt;"", ROW()-4, "")</f>
        <v/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>
      <c r="A33" s="8">
        <f>IF(B33&lt;&gt;"", ROW()-4,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</row>
    <row r="34">
      <c r="A34" s="7">
        <f>IF(B34&lt;&gt;"", ROW()-4, "")</f>
        <v/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>
      <c r="A35" s="8">
        <f>IF(B35&lt;&gt;"", ROW()-4,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</row>
    <row r="36">
      <c r="A36" s="7">
        <f>IF(B36&lt;&gt;"", ROW()-4, "")</f>
        <v/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>
      <c r="A37" s="8">
        <f>IF(B37&lt;&gt;"", ROW()-4,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</row>
    <row r="38">
      <c r="A38" s="7">
        <f>IF(B38&lt;&gt;"", ROW()-4, "")</f>
        <v/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</row>
    <row r="39">
      <c r="A39" s="8">
        <f>IF(B39&lt;&gt;"", ROW()-4,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</row>
    <row r="40">
      <c r="A40" s="7">
        <f>IF(B40&lt;&gt;"", ROW()-4, "")</f>
        <v/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s="8">
        <f>IF(B41&lt;&gt;"", ROW()-4,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</row>
    <row r="42">
      <c r="A42" s="7">
        <f>IF(B42&lt;&gt;"", ROW()-4, "")</f>
        <v/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8">
        <f>IF(B43&lt;&gt;"", ROW()-4,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</row>
    <row r="44">
      <c r="A44" s="7">
        <f>IF(B44&lt;&gt;"", ROW()-4, "")</f>
        <v/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</row>
    <row r="45">
      <c r="A45" s="8">
        <f>IF(B45&lt;&gt;"", ROW()-4,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</row>
    <row r="46">
      <c r="A46" s="7">
        <f>IF(B46&lt;&gt;"", ROW()-4, "")</f>
        <v/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</row>
    <row r="47">
      <c r="A47" s="8">
        <f>IF(B47&lt;&gt;"", ROW()-4,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</row>
    <row r="48">
      <c r="A48" s="7">
        <f>IF(B48&lt;&gt;"", ROW()-4, "")</f>
        <v/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</row>
    <row r="49">
      <c r="A49" s="8">
        <f>IF(B49&lt;&gt;"", ROW()-4,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7">
        <f>IF(B50&lt;&gt;"", ROW()-4, "")</f>
        <v/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</row>
    <row r="51">
      <c r="A51" s="8">
        <f>IF(B51&lt;&gt;"", ROW()-4,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7">
        <f>IF(B52&lt;&gt;"", ROW()-4, "")</f>
        <v/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</row>
    <row r="53">
      <c r="A53" s="8">
        <f>IF(B53&lt;&gt;"", ROW()-4, 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7">
        <f>IF(B54&lt;&gt;"", ROW()-4, "")</f>
        <v/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8">
        <f>IF(B55&lt;&gt;"", ROW()-4, 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7">
        <f>IF(B56&lt;&gt;"", ROW()-4, "")</f>
        <v/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</row>
    <row r="57">
      <c r="A57" s="8">
        <f>IF(B57&lt;&gt;"", ROW()-4, 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7">
        <f>IF(B58&lt;&gt;"", ROW()-4, "")</f>
        <v/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</row>
    <row r="59">
      <c r="A59" s="8">
        <f>IF(B59&lt;&gt;"", ROW()-4, 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7">
        <f>IF(B60&lt;&gt;"", ROW()-4, "")</f>
        <v/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</row>
    <row r="61">
      <c r="A61" s="8">
        <f>IF(B61&lt;&gt;"", ROW()-4, 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7">
        <f>IF(B62&lt;&gt;"", ROW()-4, "")</f>
        <v/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</row>
    <row r="63">
      <c r="A63" s="8">
        <f>IF(B63&lt;&gt;"", ROW()-4, 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7">
        <f>IF(B64&lt;&gt;"", ROW()-4, "")</f>
        <v/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</row>
    <row r="65">
      <c r="A65" s="8">
        <f>IF(B65&lt;&gt;"", ROW()-4, 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7">
        <f>IF(B66&lt;&gt;"", ROW()-4, "")</f>
        <v/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</row>
    <row r="67">
      <c r="A67" s="8">
        <f>IF(B67&lt;&gt;"", ROW()-4, 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7">
        <f>IF(B68&lt;&gt;"", ROW()-4, "")</f>
        <v/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</row>
    <row r="69">
      <c r="A69" s="8">
        <f>IF(B69&lt;&gt;"", ROW()-4, 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7">
        <f>IF(B70&lt;&gt;"", ROW()-4, "")</f>
        <v/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</row>
    <row r="71">
      <c r="A71" s="8">
        <f>IF(B71&lt;&gt;"", ROW()-4, 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7">
        <f>IF(B72&lt;&gt;"", ROW()-4, "")</f>
        <v/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</row>
    <row r="73">
      <c r="A73" s="8">
        <f>IF(B73&lt;&gt;"", ROW()-4, 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A74" s="7">
        <f>IF(B74&lt;&gt;"", ROW()-4, "")</f>
        <v/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</row>
    <row r="75">
      <c r="A75" s="8">
        <f>IF(B75&lt;&gt;"", ROW()-4, 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A76" s="7">
        <f>IF(B76&lt;&gt;"", ROW()-4, "")</f>
        <v/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</row>
    <row r="77">
      <c r="A77" s="8">
        <f>IF(B77&lt;&gt;"", ROW()-4, 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A78" s="7">
        <f>IF(B78&lt;&gt;"", ROW()-4, "")</f>
        <v/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</row>
    <row r="79">
      <c r="A79" s="8">
        <f>IF(B79&lt;&gt;"", ROW()-4, 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A80" s="7">
        <f>IF(B80&lt;&gt;"", ROW()-4, "")</f>
        <v/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</row>
    <row r="81">
      <c r="A81" s="8">
        <f>IF(B81&lt;&gt;"", ROW()-4, 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A82" s="7">
        <f>IF(B82&lt;&gt;"", ROW()-4, "")</f>
        <v/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</row>
    <row r="83">
      <c r="A83" s="8">
        <f>IF(B83&lt;&gt;"", ROW()-4, 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A84" s="7">
        <f>IF(B84&lt;&gt;"", ROW()-4, "")</f>
        <v/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</row>
    <row r="85">
      <c r="A85" s="8">
        <f>IF(B85&lt;&gt;"", ROW()-4, 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A86" s="7">
        <f>IF(B86&lt;&gt;"", ROW()-4, "")</f>
        <v/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</row>
    <row r="87">
      <c r="A87" s="8">
        <f>IF(B87&lt;&gt;"", ROW()-4, 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A88" s="7">
        <f>IF(B88&lt;&gt;"", ROW()-4, "")</f>
        <v/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</row>
    <row r="89">
      <c r="A89" s="8">
        <f>IF(B89&lt;&gt;"", ROW()-4, 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A90" s="7">
        <f>IF(B90&lt;&gt;"", ROW()-4, "")</f>
        <v/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</row>
    <row r="91">
      <c r="A91" s="8">
        <f>IF(B91&lt;&gt;"", ROW()-4, 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A92" s="7">
        <f>IF(B92&lt;&gt;"", ROW()-4, "")</f>
        <v/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</row>
    <row r="93">
      <c r="A93" s="8">
        <f>IF(B93&lt;&gt;"", ROW()-4, 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A94" s="7">
        <f>IF(B94&lt;&gt;"", ROW()-4, "")</f>
        <v/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</row>
    <row r="95">
      <c r="A95" s="8">
        <f>IF(B95&lt;&gt;"", ROW()-4, 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A96" s="7">
        <f>IF(B96&lt;&gt;"", ROW()-4, "")</f>
        <v/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</row>
    <row r="97">
      <c r="A97" s="8">
        <f>IF(B97&lt;&gt;"", ROW()-4, 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A98" s="7">
        <f>IF(B98&lt;&gt;"", ROW()-4, "")</f>
        <v/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</row>
    <row r="99">
      <c r="A99" s="8">
        <f>IF(B99&lt;&gt;"", ROW()-4, 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A100" s="7">
        <f>IF(B100&lt;&gt;"", ROW()-4, "")</f>
        <v/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</row>
    <row r="101">
      <c r="A101" s="8">
        <f>IF(B101&lt;&gt;"", ROW()-4, 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A102" s="7">
        <f>IF(B102&lt;&gt;"", ROW()-4, "")</f>
        <v/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</row>
    <row r="103">
      <c r="A103" s="8">
        <f>IF(B103&lt;&gt;"", ROW()-4, "")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A104" s="7">
        <f>IF(B104&lt;&gt;"", ROW()-4, "")</f>
        <v/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</row>
  </sheetData>
  <mergeCells count="2">
    <mergeCell ref="A1:P1"/>
    <mergeCell ref="A2:P2"/>
  </mergeCells>
  <conditionalFormatting sqref="O5:O104">
    <cfRule type="cellIs" priority="1" operator="equal" dxfId="2">
      <formula>"În pregătire"</formula>
    </cfRule>
    <cfRule type="cellIs" priority="2" operator="equal" dxfId="5">
      <formula>"Depus"</formula>
    </cfRule>
    <cfRule type="cellIs" priority="3" operator="equal" dxfId="6">
      <formula>"Evaluare"</formula>
    </cfRule>
    <cfRule type="cellIs" priority="4" operator="equal" dxfId="0">
      <formula>"Aprobat"</formula>
    </cfRule>
    <cfRule type="cellIs" priority="5" operator="equal" dxfId="3">
      <formula>"Respins"</formula>
    </cfRule>
  </conditionalFormatting>
  <conditionalFormatting sqref="K5:K104">
    <cfRule type="cellIs" priority="6" operator="equal" dxfId="0">
      <formula>"Da"</formula>
    </cfRule>
    <cfRule type="cellIs" priority="7" operator="equal" dxfId="3">
      <formula>"Nu"</formula>
    </cfRule>
  </conditionalFormatting>
  <conditionalFormatting sqref="M5:M104">
    <cfRule type="cellIs" priority="8" operator="equal" dxfId="0">
      <formula>"Da"</formula>
    </cfRule>
    <cfRule type="cellIs" priority="9" operator="equal" dxfId="3">
      <formula>"Nu"</formula>
    </cfRule>
  </conditionalFormatting>
  <conditionalFormatting sqref="N5:N104">
    <cfRule type="cellIs" priority="10" operator="equal" dxfId="0">
      <formula>"Da"</formula>
    </cfRule>
    <cfRule type="cellIs" priority="11" operator="equal" dxfId="3">
      <formula>"Nu"</formula>
    </cfRule>
  </conditionalFormatting>
  <dataValidations count="2">
    <dataValidation sqref="K5:K104 M5:M104 N5:N104" showDropDown="0" showInputMessage="0" showErrorMessage="0" allowBlank="1" type="list">
      <formula1>"Da,Nu"</formula1>
    </dataValidation>
    <dataValidation sqref="O5:O104" showDropDown="0" showInputMessage="0" showErrorMessage="0" allowBlank="1" type="list">
      <formula1>"În pregătire,Depus,Evaluare,Aprobat,Respins"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9800"/>
    <outlinePr summaryBelow="1" summaryRight="1"/>
    <pageSetUpPr/>
  </sheetPr>
  <dimension ref="A1:K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6" customWidth="1" min="4" max="4"/>
    <col width="28" customWidth="1" min="5" max="5"/>
    <col width="18" customWidth="1" min="6" max="6"/>
    <col width="12" customWidth="1" min="7" max="7"/>
    <col width="28" customWidth="1" min="8" max="8"/>
    <col width="28" customWidth="1" min="9" max="9"/>
    <col width="8" customWidth="1" min="10" max="10"/>
  </cols>
  <sheetData>
    <row r="1" ht="35" customHeight="1">
      <c r="A1" s="1" t="inlineStr">
        <is>
          <t>AGRO SALSO — FOLLOW-UP ZILNIC</t>
        </is>
      </c>
    </row>
    <row r="2">
      <c r="A2" s="18" t="inlineStr">
        <is>
          <t>Dimineața la 07:00 — deschide acest tab și sună pe fiecare. Seara — completează rezultatul și adaugă apelurile de mâine.</t>
        </is>
      </c>
    </row>
    <row r="3">
      <c r="A3" s="3" t="inlineStr">
        <is>
          <t>Apeluri azi:</t>
        </is>
      </c>
      <c r="B3" s="19">
        <f>COUNTIF(A5:A304,TODAY())</f>
        <v/>
      </c>
      <c r="C3" s="3" t="inlineStr">
        <is>
          <t>Făcute azi:</t>
        </is>
      </c>
      <c r="D3" s="4">
        <f>COUNTIFS(A5:A304,TODAY(),J5:J304,"Da")</f>
        <v/>
      </c>
      <c r="E3" s="3" t="inlineStr">
        <is>
          <t>Rămase azi:</t>
        </is>
      </c>
      <c r="F3" s="10">
        <f>COUNTIFS(A5:A304,TODAY(),J5:J304,"Nu")</f>
        <v/>
      </c>
      <c r="G3" s="3" t="inlineStr">
        <is>
          <t>Urgente nefăcute:</t>
        </is>
      </c>
      <c r="H3" s="10">
        <f>COUNTIFS(G5:G304,"Urgentă",J5:J304,"Nu")</f>
        <v/>
      </c>
    </row>
    <row r="4" ht="40" customHeight="1">
      <c r="A4" s="5" t="inlineStr">
        <is>
          <t>Data</t>
        </is>
      </c>
      <c r="B4" s="5" t="inlineStr">
        <is>
          <t>Oră
planificată</t>
        </is>
      </c>
      <c r="C4" s="5" t="inlineStr">
        <is>
          <t>Cine trebuie
sunat</t>
        </is>
      </c>
      <c r="D4" s="5" t="inlineStr">
        <is>
          <t>Telefon</t>
        </is>
      </c>
      <c r="E4" s="5" t="inlineStr">
        <is>
          <t>Motiv apel</t>
        </is>
      </c>
      <c r="F4" s="5" t="inlineStr">
        <is>
          <t>Tip</t>
        </is>
      </c>
      <c r="G4" s="5" t="inlineStr">
        <is>
          <t>Prioritate</t>
        </is>
      </c>
      <c r="H4" s="5" t="inlineStr">
        <is>
          <t>Rezultat apel</t>
        </is>
      </c>
      <c r="I4" s="5" t="inlineStr">
        <is>
          <t>Următoarea
acțiune</t>
        </is>
      </c>
      <c r="J4" s="5" t="inlineStr">
        <is>
          <t>Făcut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</row>
  </sheetData>
  <mergeCells count="2">
    <mergeCell ref="A2:K2"/>
    <mergeCell ref="A1:K1"/>
  </mergeCells>
  <conditionalFormatting sqref="G5:G304">
    <cfRule type="cellIs" priority="1" operator="equal" dxfId="3">
      <formula>"Urgentă"</formula>
    </cfRule>
    <cfRule type="cellIs" priority="2" operator="equal" dxfId="2">
      <formula>"Normală"</formula>
    </cfRule>
    <cfRule type="cellIs" priority="3" operator="equal" dxfId="1">
      <formula>"Scăzută"</formula>
    </cfRule>
  </conditionalFormatting>
  <conditionalFormatting sqref="J5:J304">
    <cfRule type="cellIs" priority="4" operator="equal" dxfId="0">
      <formula>"Da"</formula>
    </cfRule>
    <cfRule type="cellIs" priority="5" operator="equal" dxfId="3">
      <formula>"Nu"</formula>
    </cfRule>
  </conditionalFormatting>
  <dataValidations count="3">
    <dataValidation sqref="F5:F304" showDropDown="0" showInputMessage="0" showErrorMessage="0" allowBlank="1" type="list">
      <formula1>"Client existent,Lead nou,Lead AFIR,Consultant AFIR,Referral,Altceva"</formula1>
    </dataValidation>
    <dataValidation sqref="G5:G304" showDropDown="0" showInputMessage="0" showErrorMessage="0" allowBlank="1" type="list">
      <formula1>"Urgentă,Normală,Scăzută"</formula1>
    </dataValidation>
    <dataValidation sqref="J5:J304" showDropDown="0" showInputMessage="0" showErrorMessage="0" allowBlank="1" type="list">
      <formula1>"Da,Nu"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C27B0"/>
    <outlinePr summaryBelow="1" summaryRight="1"/>
    <pageSetUpPr/>
  </sheetPr>
  <dimension ref="A1:Q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16" customWidth="1" min="14" max="14"/>
    <col width="16" customWidth="1" min="15" max="15"/>
    <col width="14" customWidth="1" min="16" max="16"/>
    <col width="14" customWidth="1" min="17" max="17"/>
  </cols>
  <sheetData>
    <row r="1" ht="35" customHeight="1">
      <c r="A1" s="1" t="inlineStr">
        <is>
          <t>AGRO SALSO — DASHBOARD &amp; RAPORT LUNAR</t>
        </is>
      </c>
    </row>
    <row r="2">
      <c r="A2" s="2" t="inlineStr">
        <is>
          <t>Completează o dată pe lună. Numerele se calculează automat din tab-urile anterioare + bugetul introdus manual.</t>
        </is>
      </c>
    </row>
    <row r="4">
      <c r="A4" s="2" t="inlineStr">
        <is>
          <t>PERFORMANȚĂ LUNARĂ</t>
        </is>
      </c>
    </row>
    <row r="5" ht="45" customHeight="1">
      <c r="A5" s="5" t="inlineStr">
        <is>
          <t>Luna</t>
        </is>
      </c>
      <c r="B5" s="5" t="inlineStr">
        <is>
          <t>Lead-uri noi
total</t>
        </is>
      </c>
      <c r="C5" s="5" t="inlineStr">
        <is>
          <t>Din
Meta Ads</t>
        </is>
      </c>
      <c r="D5" s="5" t="inlineStr">
        <is>
          <t>Din
Google Ads</t>
        </is>
      </c>
      <c r="E5" s="5" t="inlineStr">
        <is>
          <t>Din
Referral</t>
        </is>
      </c>
      <c r="F5" s="5" t="inlineStr">
        <is>
          <t>Din Grupuri
Facebook</t>
        </is>
      </c>
      <c r="G5" s="5" t="inlineStr">
        <is>
          <t>Din
AFIR</t>
        </is>
      </c>
      <c r="H5" s="5" t="inlineStr">
        <is>
          <t>Lead-uri
contactate</t>
        </is>
      </c>
      <c r="I5" s="5" t="inlineStr">
        <is>
          <t>Lead-uri
calificate</t>
        </is>
      </c>
      <c r="J5" s="5" t="inlineStr">
        <is>
          <t>Vizite
la sediu</t>
        </is>
      </c>
      <c r="K5" s="5" t="inlineStr">
        <is>
          <t>Oferte
trimise</t>
        </is>
      </c>
      <c r="L5" s="5" t="inlineStr">
        <is>
          <t>Oferte AFIR
trimise</t>
        </is>
      </c>
      <c r="M5" s="5" t="inlineStr">
        <is>
          <t>Vânzări
închise</t>
        </is>
      </c>
      <c r="N5" s="5" t="inlineStr">
        <is>
          <t>Valoare vânzări
(RON)</t>
        </is>
      </c>
      <c r="O5" s="5" t="inlineStr">
        <is>
          <t>Buget ads
cheltuit (RON)</t>
        </is>
      </c>
      <c r="P5" s="5" t="inlineStr">
        <is>
          <t>Cost per
lead (RON)</t>
        </is>
      </c>
      <c r="Q5" s="5" t="inlineStr">
        <is>
          <t>Cost per
vânzare (RON)</t>
        </is>
      </c>
    </row>
    <row r="6">
      <c r="A6" s="7" t="inlineStr">
        <is>
          <t>Februarie 2026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0" t="n"/>
      <c r="O6" s="20" t="n"/>
      <c r="P6" s="21">
        <f>IFERROR(O6/B6,"")</f>
        <v/>
      </c>
      <c r="Q6" s="21">
        <f>IFERROR(O6/M6,"")</f>
        <v/>
      </c>
    </row>
    <row r="7">
      <c r="A7" s="8" t="inlineStr">
        <is>
          <t>Martie 2026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22" t="n"/>
      <c r="O7" s="22" t="n"/>
      <c r="P7" s="23">
        <f>IFERROR(O7/B7,"")</f>
        <v/>
      </c>
      <c r="Q7" s="23">
        <f>IFERROR(O7/M7,"")</f>
        <v/>
      </c>
    </row>
    <row r="8">
      <c r="A8" s="7" t="inlineStr">
        <is>
          <t>Aprilie 2026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20" t="n"/>
      <c r="O8" s="20" t="n"/>
      <c r="P8" s="21">
        <f>IFERROR(O8/B8,"")</f>
        <v/>
      </c>
      <c r="Q8" s="21">
        <f>IFERROR(O8/M8,"")</f>
        <v/>
      </c>
    </row>
    <row r="9">
      <c r="A9" s="8" t="inlineStr">
        <is>
          <t>Mai 2026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22" t="n"/>
      <c r="O9" s="22" t="n"/>
      <c r="P9" s="23">
        <f>IFERROR(O9/B9,"")</f>
        <v/>
      </c>
      <c r="Q9" s="23">
        <f>IFERROR(O9/M9,"")</f>
        <v/>
      </c>
    </row>
    <row r="10">
      <c r="A10" s="7" t="inlineStr">
        <is>
          <t>Iunie 2026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0" t="n"/>
      <c r="O10" s="20" t="n"/>
      <c r="P10" s="21">
        <f>IFERROR(O10/B10,"")</f>
        <v/>
      </c>
      <c r="Q10" s="21">
        <f>IFERROR(O10/M10,"")</f>
        <v/>
      </c>
    </row>
    <row r="11">
      <c r="A11" s="8" t="inlineStr">
        <is>
          <t>Iulie 2026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22" t="n"/>
      <c r="O11" s="22" t="n"/>
      <c r="P11" s="23">
        <f>IFERROR(O11/B11,"")</f>
        <v/>
      </c>
      <c r="Q11" s="23">
        <f>IFERROR(O11/M11,"")</f>
        <v/>
      </c>
    </row>
    <row r="12">
      <c r="A12" s="7" t="inlineStr">
        <is>
          <t>August 2026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0" t="n"/>
      <c r="O12" s="20" t="n"/>
      <c r="P12" s="21">
        <f>IFERROR(O12/B12,"")</f>
        <v/>
      </c>
      <c r="Q12" s="21">
        <f>IFERROR(O12/M12,"")</f>
        <v/>
      </c>
    </row>
    <row r="13">
      <c r="A13" s="8" t="inlineStr">
        <is>
          <t>Septembrie 2026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22" t="n"/>
      <c r="O13" s="22" t="n"/>
      <c r="P13" s="23">
        <f>IFERROR(O13/B13,"")</f>
        <v/>
      </c>
      <c r="Q13" s="23">
        <f>IFERROR(O13/M13,"")</f>
        <v/>
      </c>
    </row>
    <row r="14">
      <c r="A14" s="7" t="inlineStr">
        <is>
          <t>Octombrie 2026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0" t="n"/>
      <c r="O14" s="20" t="n"/>
      <c r="P14" s="21">
        <f>IFERROR(O14/B14,"")</f>
        <v/>
      </c>
      <c r="Q14" s="21">
        <f>IFERROR(O14/M14,"")</f>
        <v/>
      </c>
    </row>
    <row r="15">
      <c r="A15" s="8" t="inlineStr">
        <is>
          <t>Noiembrie 2026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22" t="n"/>
      <c r="O15" s="22" t="n"/>
      <c r="P15" s="23">
        <f>IFERROR(O15/B15,"")</f>
        <v/>
      </c>
      <c r="Q15" s="23">
        <f>IFERROR(O15/M15,"")</f>
        <v/>
      </c>
    </row>
    <row r="16">
      <c r="A16" s="7" t="inlineStr">
        <is>
          <t>Decembrie 2026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0" t="n"/>
      <c r="O16" s="20" t="n"/>
      <c r="P16" s="21">
        <f>IFERROR(O16/B16,"")</f>
        <v/>
      </c>
      <c r="Q16" s="21">
        <f>IFERROR(O16/M16,"")</f>
        <v/>
      </c>
    </row>
    <row r="17">
      <c r="A17" s="8" t="inlineStr">
        <is>
          <t>Ianuarie 2027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22" t="n"/>
      <c r="O17" s="22" t="n"/>
      <c r="P17" s="23">
        <f>IFERROR(O17/B17,"")</f>
        <v/>
      </c>
      <c r="Q17" s="23">
        <f>IFERROR(O17/M17,"")</f>
        <v/>
      </c>
    </row>
    <row r="18">
      <c r="A18" s="24" t="inlineStr">
        <is>
          <t>TOTAL</t>
        </is>
      </c>
      <c r="B18" s="25">
        <f>SUM(B6:B17)</f>
        <v/>
      </c>
      <c r="C18" s="25">
        <f>SUM(C6:C17)</f>
        <v/>
      </c>
      <c r="D18" s="25">
        <f>SUM(D6:D17)</f>
        <v/>
      </c>
      <c r="E18" s="25">
        <f>SUM(E6:E17)</f>
        <v/>
      </c>
      <c r="F18" s="25">
        <f>SUM(F6:F17)</f>
        <v/>
      </c>
      <c r="G18" s="25">
        <f>SUM(G6:G17)</f>
        <v/>
      </c>
      <c r="H18" s="25">
        <f>SUM(H6:H17)</f>
        <v/>
      </c>
      <c r="I18" s="25">
        <f>SUM(I6:I17)</f>
        <v/>
      </c>
      <c r="J18" s="25">
        <f>SUM(J6:J17)</f>
        <v/>
      </c>
      <c r="K18" s="25">
        <f>SUM(K6:K17)</f>
        <v/>
      </c>
      <c r="L18" s="25">
        <f>SUM(L6:L17)</f>
        <v/>
      </c>
      <c r="M18" s="25">
        <f>SUM(M6:M17)</f>
        <v/>
      </c>
      <c r="N18" s="26">
        <f>SUM(N6:N17)</f>
        <v/>
      </c>
      <c r="O18" s="26">
        <f>SUM(O6:O17)</f>
        <v/>
      </c>
      <c r="P18" s="26">
        <f>IFERROR(AVERAGE(P6:P17),"")</f>
        <v/>
      </c>
      <c r="Q18" s="26">
        <f>IFERROR(AVERAGE(Q6:Q17),"")</f>
        <v/>
      </c>
    </row>
    <row r="21">
      <c r="A21" s="2" t="inlineStr">
        <is>
          <t>DASHBOARD LIVE (calculat automat din celelalte tab-uri)</t>
        </is>
      </c>
    </row>
    <row r="22">
      <c r="A22" s="27" t="inlineStr">
        <is>
          <t>Clienți în baza de date:</t>
        </is>
      </c>
      <c r="B22" s="28">
        <f>'CLIENȚI EXISTENȚI'!B3</f>
        <v/>
      </c>
    </row>
    <row r="23">
      <c r="A23" s="27" t="inlineStr">
        <is>
          <t>Clienți cu potențial upsell:</t>
        </is>
      </c>
      <c r="B23" s="28">
        <f>'CLIENȚI EXISTENȚI'!E3</f>
        <v/>
      </c>
    </row>
    <row r="24">
      <c r="A24" s="27" t="inlineStr">
        <is>
          <t>Total lead-uri noi:</t>
        </is>
      </c>
      <c r="B24" s="28">
        <f>'LEAD-URI NOI'!B3</f>
        <v/>
      </c>
    </row>
    <row r="25">
      <c r="A25" s="27" t="inlineStr">
        <is>
          <t>Lead-uri nesunate (NOI):</t>
        </is>
      </c>
      <c r="B25" s="28">
        <f>'LEAD-URI NOI'!D3</f>
        <v/>
      </c>
    </row>
    <row r="26">
      <c r="A26" s="27" t="inlineStr">
        <is>
          <t>Lead-uri calificate:</t>
        </is>
      </c>
      <c r="B26" s="28">
        <f>'LEAD-URI NOI'!F3</f>
        <v/>
      </c>
    </row>
    <row r="27">
      <c r="A27" s="27" t="inlineStr">
        <is>
          <t>Vânzări din lead-uri:</t>
        </is>
      </c>
      <c r="B27" s="28">
        <f>'LEAD-URI NOI'!H3</f>
        <v/>
      </c>
    </row>
    <row r="28">
      <c r="A28" s="27" t="inlineStr">
        <is>
          <t>Rată conversie lead→vânzare:</t>
        </is>
      </c>
      <c r="B28" s="29">
        <f>'LEAD-URI NOI'!L3</f>
        <v/>
      </c>
    </row>
    <row r="29">
      <c r="A29" s="27" t="inlineStr">
        <is>
          <t>Proiecte AFIR în pipeline:</t>
        </is>
      </c>
      <c r="B29" s="28">
        <f>'PIPELINE AFIR'!B3</f>
        <v/>
      </c>
    </row>
    <row r="30">
      <c r="A30" s="27" t="inlineStr">
        <is>
          <t>Valoare pipeline AFIR:</t>
        </is>
      </c>
      <c r="B30" s="30">
        <f>'PIPELINE AFIR'!E3</f>
        <v/>
      </c>
    </row>
    <row r="31">
      <c r="A31" s="27" t="inlineStr">
        <is>
          <t>Oferte AFIR trimise:</t>
        </is>
      </c>
      <c r="B31" s="28">
        <f>'PIPELINE AFIR'!H3</f>
        <v/>
      </c>
    </row>
    <row r="32">
      <c r="A32" s="27" t="inlineStr">
        <is>
          <t>Proiecte AFIR aprobate:</t>
        </is>
      </c>
      <c r="B32" s="28">
        <f>'PIPELINE AFIR'!J3</f>
        <v/>
      </c>
    </row>
    <row r="35">
      <c r="A35" s="2" t="inlineStr">
        <is>
          <t>LEAD-URI PE SURSĂ (calculat automat)</t>
        </is>
      </c>
    </row>
    <row r="36">
      <c r="A36" s="31" t="inlineStr">
        <is>
          <t>Sursă</t>
        </is>
      </c>
      <c r="B36" s="31" t="inlineStr">
        <is>
          <t>Nr. lead-uri</t>
        </is>
      </c>
      <c r="C36" s="31" t="inlineStr">
        <is>
          <t>% din total</t>
        </is>
      </c>
    </row>
    <row r="37">
      <c r="A37" s="32" t="inlineStr">
        <is>
          <t>Meta Ads</t>
        </is>
      </c>
      <c r="B37" s="33">
        <f>COUNTIF('LEAD-URI NOI'!C5:C504,"Meta Ads")</f>
        <v/>
      </c>
      <c r="C37" s="34">
        <f>IFERROR(B37/'LEAD-URI NOI'!B3,0)</f>
        <v/>
      </c>
    </row>
    <row r="38">
      <c r="A38" s="35" t="inlineStr">
        <is>
          <t>Google Ads</t>
        </is>
      </c>
      <c r="B38" s="36">
        <f>COUNTIF('LEAD-URI NOI'!C5:C504,"Google Ads")</f>
        <v/>
      </c>
      <c r="C38" s="37">
        <f>IFERROR(B38/'LEAD-URI NOI'!B3,0)</f>
        <v/>
      </c>
    </row>
    <row r="39">
      <c r="A39" s="32" t="inlineStr">
        <is>
          <t>Referral</t>
        </is>
      </c>
      <c r="B39" s="33">
        <f>COUNTIF('LEAD-URI NOI'!C5:C504,"Referral")</f>
        <v/>
      </c>
      <c r="C39" s="34">
        <f>IFERROR(B39/'LEAD-URI NOI'!B3,0)</f>
        <v/>
      </c>
    </row>
    <row r="40">
      <c r="A40" s="35" t="inlineStr">
        <is>
          <t>Telefon direct</t>
        </is>
      </c>
      <c r="B40" s="36">
        <f>COUNTIF('LEAD-URI NOI'!C5:C504,"Telefon direct")</f>
        <v/>
      </c>
      <c r="C40" s="37">
        <f>IFERROR(B40/'LEAD-URI NOI'!B3,0)</f>
        <v/>
      </c>
    </row>
    <row r="41">
      <c r="A41" s="32" t="inlineStr">
        <is>
          <t>Grup Facebook</t>
        </is>
      </c>
      <c r="B41" s="33">
        <f>COUNTIF('LEAD-URI NOI'!C5:C504,"Grup Facebook")</f>
        <v/>
      </c>
      <c r="C41" s="34">
        <f>IFERROR(B41/'LEAD-URI NOI'!B3,0)</f>
        <v/>
      </c>
    </row>
    <row r="42">
      <c r="A42" s="35" t="inlineStr">
        <is>
          <t>Marketplace</t>
        </is>
      </c>
      <c r="B42" s="36">
        <f>COUNTIF('LEAD-URI NOI'!C5:C504,"Marketplace")</f>
        <v/>
      </c>
      <c r="C42" s="37">
        <f>IFERROR(B42/'LEAD-URI NOI'!B3,0)</f>
        <v/>
      </c>
    </row>
    <row r="43">
      <c r="A43" s="32" t="inlineStr">
        <is>
          <t>Vizită spontană</t>
        </is>
      </c>
      <c r="B43" s="33">
        <f>COUNTIF('LEAD-URI NOI'!C5:C504,"Vizită spontană")</f>
        <v/>
      </c>
      <c r="C43" s="34">
        <f>IFERROR(B43/'LEAD-URI NOI'!B3,0)</f>
        <v/>
      </c>
    </row>
    <row r="44">
      <c r="A44" s="35" t="inlineStr">
        <is>
          <t>AFIR</t>
        </is>
      </c>
      <c r="B44" s="36">
        <f>COUNTIF('LEAD-URI NOI'!C5:C504,"AFIR")</f>
        <v/>
      </c>
      <c r="C44" s="37">
        <f>IFERROR(B44/'LEAD-URI NOI'!B3,0)</f>
        <v/>
      </c>
    </row>
    <row r="47">
      <c r="A47" s="2" t="inlineStr">
        <is>
          <t>LEAD-URI PE STATUS (calculat automat)</t>
        </is>
      </c>
    </row>
    <row r="48">
      <c r="A48" s="31" t="inlineStr">
        <is>
          <t>Status</t>
        </is>
      </c>
      <c r="B48" s="31" t="inlineStr">
        <is>
          <t>Nr. lead-uri</t>
        </is>
      </c>
      <c r="C48" s="31" t="inlineStr">
        <is>
          <t>% din total</t>
        </is>
      </c>
    </row>
    <row r="49">
      <c r="A49" s="38" t="inlineStr">
        <is>
          <t>Nou</t>
        </is>
      </c>
      <c r="B49" s="33">
        <f>COUNTIF('LEAD-URI NOI'!N5:N504,"Nou")</f>
        <v/>
      </c>
      <c r="C49" s="34">
        <f>IFERROR(B49/'LEAD-URI NOI'!B3,0)</f>
        <v/>
      </c>
    </row>
    <row r="50">
      <c r="A50" s="39" t="inlineStr">
        <is>
          <t>Contactat</t>
        </is>
      </c>
      <c r="B50" s="33">
        <f>COUNTIF('LEAD-URI NOI'!N5:N504,"Contactat")</f>
        <v/>
      </c>
      <c r="C50" s="34">
        <f>IFERROR(B50/'LEAD-URI NOI'!B3,0)</f>
        <v/>
      </c>
    </row>
    <row r="51">
      <c r="A51" s="40" t="inlineStr">
        <is>
          <t>Interesat</t>
        </is>
      </c>
      <c r="B51" s="33">
        <f>COUNTIF('LEAD-URI NOI'!N5:N504,"Interesat")</f>
        <v/>
      </c>
      <c r="C51" s="34">
        <f>IFERROR(B51/'LEAD-URI NOI'!B3,0)</f>
        <v/>
      </c>
    </row>
    <row r="52">
      <c r="A52" s="41" t="inlineStr">
        <is>
          <t>Ofertă trimisă</t>
        </is>
      </c>
      <c r="B52" s="33">
        <f>COUNTIF('LEAD-URI NOI'!N5:N504,"Ofertă trimisă")</f>
        <v/>
      </c>
      <c r="C52" s="34">
        <f>IFERROR(B52/'LEAD-URI NOI'!B3,0)</f>
        <v/>
      </c>
    </row>
    <row r="53">
      <c r="A53" s="42" t="inlineStr">
        <is>
          <t>Vizită programată</t>
        </is>
      </c>
      <c r="B53" s="33">
        <f>COUNTIF('LEAD-URI NOI'!N5:N504,"Vizită programată")</f>
        <v/>
      </c>
      <c r="C53" s="34">
        <f>IFERROR(B53/'LEAD-URI NOI'!B3,0)</f>
        <v/>
      </c>
    </row>
    <row r="54">
      <c r="A54" s="25" t="inlineStr">
        <is>
          <t>Vândut</t>
        </is>
      </c>
      <c r="B54" s="33">
        <f>COUNTIF('LEAD-URI NOI'!N5:N504,"Vândut")</f>
        <v/>
      </c>
      <c r="C54" s="34">
        <f>IFERROR(B54/'LEAD-URI NOI'!B3,0)</f>
        <v/>
      </c>
    </row>
    <row r="55">
      <c r="A55" s="43" t="inlineStr">
        <is>
          <t>Pierdut</t>
        </is>
      </c>
      <c r="B55" s="33">
        <f>COUNTIF('LEAD-URI NOI'!N5:N504,"Pierdut")</f>
        <v/>
      </c>
      <c r="C55" s="34">
        <f>IFERROR(B55/'LEAD-URI NOI'!B3,0)</f>
        <v/>
      </c>
    </row>
    <row r="56">
      <c r="A56" s="44" t="inlineStr">
        <is>
          <t>Nu răspunde</t>
        </is>
      </c>
      <c r="B56" s="33">
        <f>COUNTIF('LEAD-URI NOI'!N5:N504,"Nu răspunde")</f>
        <v/>
      </c>
      <c r="C56" s="34">
        <f>IFERROR(B56/'LEAD-URI NOI'!B3,0)</f>
        <v/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2026-02-23T16:35:51Z</dcterms:created>
  <dcterms:modified xsi:type="dcterms:W3CDTF">2026-02-23T16:35:52Z</dcterms:modified>
</cp:coreProperties>
</file>