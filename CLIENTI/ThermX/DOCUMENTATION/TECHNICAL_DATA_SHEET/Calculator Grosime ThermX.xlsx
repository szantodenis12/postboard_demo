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I:\My Drive\NANO REVOLUTION\13. ThermX\TECHNICAL DATA SHEET\"/>
    </mc:Choice>
  </mc:AlternateContent>
  <xr:revisionPtr revIDLastSave="0" documentId="13_ncr:2001_{68335D59-FDA5-40A7-B60D-42B0DC62DD4E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Calculul Grosimii" sheetId="1" r:id="rId1"/>
    <sheet name="GROSIME" sheetId="2" r:id="rId2"/>
    <sheet name="Comparatie calcul RU - SUA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B8" i="1"/>
</calcChain>
</file>

<file path=xl/sharedStrings.xml><?xml version="1.0" encoding="utf-8"?>
<sst xmlns="http://schemas.openxmlformats.org/spreadsheetml/2006/main" count="45" uniqueCount="45">
  <si>
    <t>Conductivitate λ (W/m·°C)</t>
  </si>
  <si>
    <t>Temperatură agent TH (°C)</t>
  </si>
  <si>
    <t xml:space="preserve">Temperatură exterior Tn (°C)	</t>
  </si>
  <si>
    <t xml:space="preserve">Temperatura aer TO (°C)	</t>
  </si>
  <si>
    <t xml:space="preserve">Coeficient α (W/m²·°C)	</t>
  </si>
  <si>
    <t>Grosime δ (m)</t>
  </si>
  <si>
    <t>PARAMETRU</t>
  </si>
  <si>
    <t>VALOARE</t>
  </si>
  <si>
    <t>GROSIME (mm)</t>
  </si>
  <si>
    <t>TH (°C)</t>
  </si>
  <si>
    <t>T0 (°C)</t>
  </si>
  <si>
    <t>Tn (°C)</t>
  </si>
  <si>
    <t>lambda_ThermX (W/m°C)</t>
  </si>
  <si>
    <t>alpha_ThermX (W/m²°C)</t>
  </si>
  <si>
    <t>delta_ThermX (mm)</t>
  </si>
  <si>
    <t>Caracteristică</t>
  </si>
  <si>
    <t>SNiP 41-103-2000 (Rusia)</t>
  </si>
  <si>
    <t>ASTM/ASHRAE (SUA)</t>
  </si>
  <si>
    <t>Model termic</t>
  </si>
  <si>
    <t>Planar simplificat</t>
  </si>
  <si>
    <t>Cilindric, plan, sferic</t>
  </si>
  <si>
    <t>Tip aplicație</t>
  </si>
  <si>
    <t>Conducte, suprafețe plane</t>
  </si>
  <si>
    <t>Conducte, pereți, echipamente</t>
  </si>
  <si>
    <t>Considerații de radiație</t>
  </si>
  <si>
    <t>Simplificate</t>
  </si>
  <si>
    <t>Include emisivitate, convectie</t>
  </si>
  <si>
    <t>Unități de măsură</t>
  </si>
  <si>
    <t>W/m²·°C</t>
  </si>
  <si>
    <t>W/m²·K, Btu/hr·ft²·°F</t>
  </si>
  <si>
    <t>Metoda de calcul</t>
  </si>
  <si>
    <t>Formule manuale</t>
  </si>
  <si>
    <t>Formule + modele software</t>
  </si>
  <si>
    <t>Instrumente de calcul</t>
  </si>
  <si>
    <t>Manual/calculator simplu</t>
  </si>
  <si>
    <t>3E Plus, RETScreen, TRACE 700</t>
  </si>
  <si>
    <t>Metodologie grosime izolație</t>
  </si>
  <si>
    <t>δ = λ (TH - To) / α(Tn - To)</t>
  </si>
  <si>
    <t>δ = r2 - r1, cu r2 = f(Q, k, T)</t>
  </si>
  <si>
    <t>Software oficial</t>
  </si>
  <si>
    <t>Fără software oficial</t>
  </si>
  <si>
    <t>3E Plus (US DOE)</t>
  </si>
  <si>
    <t>Limbaj/Acces public</t>
  </si>
  <si>
    <t>Rusă / acces restrâns</t>
  </si>
  <si>
    <t>Engleză / acces liber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</si>
</sst>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B4" sqref="B4"/>
    </sheetView>
  </sheetViews>
  <sheetFormatPr defaultRowHeight="14.5" x14ac:dyDescent="0.35"/>
  <cols>
    <col min="1" max="1" width="24.7265625" bestFit="1" customWidth="1"/>
    <col min="2" max="2" width="8.6328125" style="1" bestFit="1" customWidth="1"/>
    <col min="3" max="3" width="13.81640625" bestFit="1" customWidth="1"/>
  </cols>
  <sheetData>
    <row r="1" spans="1:4" x14ac:dyDescent="0.35">
      <c r="A1" s="8" t="s">
        <v>6</v>
      </c>
      <c r="B1" s="6" t="s">
        <v>7</v>
      </c>
      <c r="C1" s="7" t="s">
        <v>8</v>
      </c>
      <c r="D1" s="1"/>
    </row>
    <row r="2" spans="1:4" x14ac:dyDescent="0.35">
      <c r="A2" s="2" t="s">
        <v>0</v>
      </c>
      <c r="B2" s="3">
        <v>1E-3</v>
      </c>
      <c r="C2" s="4"/>
    </row>
    <row r="3" spans="1:4" x14ac:dyDescent="0.35">
      <c r="A3" s="2" t="s">
        <v>1</v>
      </c>
      <c r="B3" s="3">
        <v>150</v>
      </c>
      <c r="C3" s="4"/>
    </row>
    <row r="4" spans="1:4" x14ac:dyDescent="0.35">
      <c r="A4" s="2" t="s">
        <v>2</v>
      </c>
      <c r="B4" s="3">
        <v>75</v>
      </c>
      <c r="C4" s="4"/>
    </row>
    <row r="5" spans="1:4" x14ac:dyDescent="0.35">
      <c r="A5" s="2" t="s">
        <v>3</v>
      </c>
      <c r="B5" s="3">
        <v>25</v>
      </c>
      <c r="C5" s="4"/>
    </row>
    <row r="6" spans="1:4" x14ac:dyDescent="0.35">
      <c r="A6" s="2" t="s">
        <v>4</v>
      </c>
      <c r="B6" s="3">
        <v>2.5</v>
      </c>
      <c r="C6" s="4"/>
    </row>
    <row r="7" spans="1:4" x14ac:dyDescent="0.35">
      <c r="A7" s="2"/>
      <c r="B7" s="3"/>
      <c r="C7" s="4"/>
    </row>
    <row r="8" spans="1:4" x14ac:dyDescent="0.35">
      <c r="A8" s="5" t="s">
        <v>5</v>
      </c>
      <c r="B8" s="6">
        <f xml:space="preserve"> (B2 * (B3 - B4)) / (B6 * (B4 - B5))</f>
        <v>5.9999999999999995E-4</v>
      </c>
      <c r="C8" s="7">
        <f xml:space="preserve"> B8 * 1000</f>
        <v>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B1483-C658-42FB-9699-3C94209B4701}">
  <dimension ref="A1:F8"/>
  <sheetViews>
    <sheetView workbookViewId="0">
      <selection activeCell="E18" sqref="E18"/>
    </sheetView>
  </sheetViews>
  <sheetFormatPr defaultRowHeight="14.5" x14ac:dyDescent="0.35"/>
  <cols>
    <col min="1" max="1" width="6.6328125" bestFit="1" customWidth="1"/>
    <col min="2" max="2" width="6.36328125" bestFit="1" customWidth="1"/>
    <col min="3" max="3" width="6.453125" bestFit="1" customWidth="1"/>
    <col min="4" max="4" width="22.7265625" bestFit="1" customWidth="1"/>
    <col min="5" max="5" width="21.7265625" bestFit="1" customWidth="1"/>
    <col min="6" max="6" width="17.81640625" bestFit="1" customWidth="1"/>
  </cols>
  <sheetData>
    <row r="1" spans="1:6" x14ac:dyDescent="0.35">
      <c r="A1" s="10" t="s">
        <v>9</v>
      </c>
      <c r="B1" s="10" t="s">
        <v>10</v>
      </c>
      <c r="C1" s="10" t="s">
        <v>11</v>
      </c>
      <c r="D1" s="10" t="s">
        <v>12</v>
      </c>
      <c r="E1" s="10" t="s">
        <v>13</v>
      </c>
      <c r="F1" s="10" t="s">
        <v>14</v>
      </c>
    </row>
    <row r="2" spans="1:6" x14ac:dyDescent="0.35">
      <c r="A2" s="9">
        <v>80</v>
      </c>
      <c r="B2" s="9">
        <v>25</v>
      </c>
      <c r="C2" s="9">
        <v>75</v>
      </c>
      <c r="D2" s="9">
        <v>1E-3</v>
      </c>
      <c r="E2" s="9">
        <v>2.5</v>
      </c>
      <c r="F2" s="9">
        <v>0.44</v>
      </c>
    </row>
    <row r="3" spans="1:6" x14ac:dyDescent="0.35">
      <c r="A3" s="9">
        <v>100</v>
      </c>
      <c r="B3" s="9">
        <v>25</v>
      </c>
      <c r="C3" s="9">
        <v>75</v>
      </c>
      <c r="D3" s="9">
        <v>1E-3</v>
      </c>
      <c r="E3" s="9">
        <v>2.5</v>
      </c>
      <c r="F3" s="9">
        <v>0.6</v>
      </c>
    </row>
    <row r="4" spans="1:6" x14ac:dyDescent="0.35">
      <c r="A4" s="9">
        <v>120</v>
      </c>
      <c r="B4" s="9">
        <v>25</v>
      </c>
      <c r="C4" s="9">
        <v>75</v>
      </c>
      <c r="D4" s="9">
        <v>1E-3</v>
      </c>
      <c r="E4" s="9">
        <v>2.5</v>
      </c>
      <c r="F4" s="9">
        <v>0.76</v>
      </c>
    </row>
    <row r="5" spans="1:6" x14ac:dyDescent="0.35">
      <c r="A5" s="9">
        <v>140</v>
      </c>
      <c r="B5" s="9">
        <v>25</v>
      </c>
      <c r="C5" s="9">
        <v>75</v>
      </c>
      <c r="D5" s="9">
        <v>1E-3</v>
      </c>
      <c r="E5" s="9">
        <v>2.5</v>
      </c>
      <c r="F5" s="9">
        <v>0.92</v>
      </c>
    </row>
    <row r="6" spans="1:6" x14ac:dyDescent="0.35">
      <c r="A6" s="9">
        <v>160</v>
      </c>
      <c r="B6" s="9">
        <v>25</v>
      </c>
      <c r="C6" s="9">
        <v>75</v>
      </c>
      <c r="D6" s="9">
        <v>1E-3</v>
      </c>
      <c r="E6" s="9">
        <v>2.5</v>
      </c>
      <c r="F6" s="9">
        <v>1.08</v>
      </c>
    </row>
    <row r="7" spans="1:6" x14ac:dyDescent="0.35">
      <c r="A7" s="9">
        <v>180</v>
      </c>
      <c r="B7" s="9">
        <v>25</v>
      </c>
      <c r="C7" s="9">
        <v>75</v>
      </c>
      <c r="D7" s="9">
        <v>1E-3</v>
      </c>
      <c r="E7" s="9">
        <v>2.5</v>
      </c>
      <c r="F7" s="9">
        <v>1.24</v>
      </c>
    </row>
    <row r="8" spans="1:6" x14ac:dyDescent="0.35">
      <c r="A8" s="9">
        <v>200</v>
      </c>
      <c r="B8" s="9">
        <v>25</v>
      </c>
      <c r="C8" s="9">
        <v>75</v>
      </c>
      <c r="D8" s="9">
        <v>1E-3</v>
      </c>
      <c r="E8" s="9">
        <v>2.5</v>
      </c>
      <c r="F8" s="9">
        <v>1.4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E59B8-1914-4DFF-B93C-87F9406F4517}">
  <dimension ref="A1:C10"/>
  <sheetViews>
    <sheetView tabSelected="1" workbookViewId="0">
      <selection activeCell="F14" sqref="F14"/>
    </sheetView>
  </sheetViews>
  <sheetFormatPr defaultRowHeight="14.5" x14ac:dyDescent="0.35"/>
  <cols>
    <col min="1" max="1" width="25.1796875" bestFit="1" customWidth="1"/>
    <col min="2" max="2" width="23" bestFit="1" customWidth="1"/>
    <col min="3" max="3" width="26.6328125" bestFit="1" customWidth="1"/>
  </cols>
  <sheetData>
    <row r="1" spans="1:3" x14ac:dyDescent="0.35">
      <c r="A1" s="10" t="s">
        <v>15</v>
      </c>
      <c r="B1" s="10" t="s">
        <v>16</v>
      </c>
      <c r="C1" s="10" t="s">
        <v>17</v>
      </c>
    </row>
    <row r="2" spans="1:3" x14ac:dyDescent="0.35">
      <c r="A2" s="9" t="s">
        <v>18</v>
      </c>
      <c r="B2" s="9" t="s">
        <v>19</v>
      </c>
      <c r="C2" s="9" t="s">
        <v>20</v>
      </c>
    </row>
    <row r="3" spans="1:3" x14ac:dyDescent="0.35">
      <c r="A3" s="9" t="s">
        <v>21</v>
      </c>
      <c r="B3" s="9" t="s">
        <v>22</v>
      </c>
      <c r="C3" s="9" t="s">
        <v>23</v>
      </c>
    </row>
    <row r="4" spans="1:3" x14ac:dyDescent="0.35">
      <c r="A4" s="9" t="s">
        <v>24</v>
      </c>
      <c r="B4" s="9" t="s">
        <v>25</v>
      </c>
      <c r="C4" s="9" t="s">
        <v>26</v>
      </c>
    </row>
    <row r="5" spans="1:3" x14ac:dyDescent="0.35">
      <c r="A5" s="9" t="s">
        <v>27</v>
      </c>
      <c r="B5" s="9" t="s">
        <v>28</v>
      </c>
      <c r="C5" s="9" t="s">
        <v>29</v>
      </c>
    </row>
    <row r="6" spans="1:3" x14ac:dyDescent="0.35">
      <c r="A6" s="9" t="s">
        <v>30</v>
      </c>
      <c r="B6" s="9" t="s">
        <v>31</v>
      </c>
      <c r="C6" s="9" t="s">
        <v>32</v>
      </c>
    </row>
    <row r="7" spans="1:3" x14ac:dyDescent="0.35">
      <c r="A7" s="9" t="s">
        <v>33</v>
      </c>
      <c r="B7" s="9" t="s">
        <v>34</v>
      </c>
      <c r="C7" s="9" t="s">
        <v>35</v>
      </c>
    </row>
    <row r="8" spans="1:3" x14ac:dyDescent="0.35">
      <c r="A8" s="9" t="s">
        <v>36</v>
      </c>
      <c r="B8" s="9" t="s">
        <v>37</v>
      </c>
      <c r="C8" s="9" t="s">
        <v>38</v>
      </c>
    </row>
    <row r="9" spans="1:3" x14ac:dyDescent="0.35">
      <c r="A9" s="9" t="s">
        <v>39</v>
      </c>
      <c r="B9" s="9" t="s">
        <v>40</v>
      </c>
      <c r="C9" s="9" t="s">
        <v>41</v>
      </c>
    </row>
    <row r="10" spans="1:3" x14ac:dyDescent="0.35">
      <c r="A10" s="9" t="s">
        <v>42</v>
      </c>
      <c r="B10" s="9" t="s">
        <v>43</v>
      </c>
      <c r="C10" s="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Calculul Grosimii</vt:lpstr>
      <vt:lpstr>GROSIME</vt:lpstr>
      <vt:lpstr>Comparatie calcul RU - SUA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Marius Șinca</dc:creator>
  <cp:lastModifiedBy>George Marius Șinca</cp:lastModifiedBy>
  <dcterms:created xsi:type="dcterms:W3CDTF">2015-06-05T18:17:20Z</dcterms:created>
  <dcterms:modified xsi:type="dcterms:W3CDTF">2025-06-05T16:38:53Z</dcterms:modified>
</cp:coreProperties>
</file>